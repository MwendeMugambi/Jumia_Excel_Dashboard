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0.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351B3DF4-22AD-4C8A-BE3F-CC48D94EF42D}" xr6:coauthVersionLast="47" xr6:coauthVersionMax="47" xr10:uidLastSave="{00000000-0000-0000-0000-000000000000}"/>
  <bookViews>
    <workbookView xWindow="-110" yWindow="-110" windowWidth="19420" windowHeight="10300" firstSheet="11" activeTab="12" xr2:uid="{6FABA068-BFA0-4F40-A991-3E0B71B8F01F}"/>
  </bookViews>
  <sheets>
    <sheet name="Excel_jumia" sheetId="1" r:id="rId1"/>
    <sheet name="Product vs Rating" sheetId="2" r:id="rId2"/>
    <sheet name="Reviews vs Discount Percentage" sheetId="3" r:id="rId3"/>
    <sheet name="Rating vs Reviews" sheetId="4" r:id="rId4"/>
    <sheet name="Discount vs Customer Engagement" sheetId="5" r:id="rId5"/>
    <sheet name="Product rating vs Reviews" sheetId="6" r:id="rId6"/>
    <sheet name="Discount vs Rating and Reviews" sheetId="13" r:id="rId7"/>
    <sheet name="Top 10 Discounted Products" sheetId="20" r:id="rId8"/>
    <sheet name="Top 10 Reviewed Products" sheetId="21" r:id="rId9"/>
    <sheet name="Bottom 5 Lowest Rated Products" sheetId="22" r:id="rId10"/>
    <sheet name="Top 5 Highest Rated Products" sheetId="23" r:id="rId11"/>
    <sheet name="Product Performance Analysis" sheetId="10" r:id="rId12"/>
    <sheet name="DashBoard" sheetId="14" r:id="rId13"/>
  </sheets>
  <definedNames>
    <definedName name="_xlnm._FilterDatabase" localSheetId="0" hidden="1">Excel_jumia!$I$1:$I$116</definedName>
    <definedName name="Slicer_Discount_Category">#N/A</definedName>
    <definedName name="Slicer_Rating_Category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1" l="1"/>
  <c r="E23" i="1"/>
  <c r="C23" i="1"/>
  <c r="B23" i="1"/>
  <c r="B116" i="1" s="1"/>
  <c r="F29" i="1"/>
  <c r="F44" i="1"/>
  <c r="F49" i="1"/>
  <c r="F51" i="1"/>
  <c r="F24" i="1"/>
  <c r="F41" i="1"/>
  <c r="F26" i="1"/>
  <c r="F52" i="1"/>
  <c r="F22" i="1"/>
  <c r="F30" i="1"/>
  <c r="F46" i="1"/>
  <c r="F50" i="1"/>
  <c r="F38" i="1"/>
  <c r="F31" i="1"/>
  <c r="F54" i="1"/>
  <c r="F55" i="1"/>
  <c r="F53" i="1"/>
  <c r="F45" i="1"/>
  <c r="F43" i="1"/>
  <c r="F19" i="1"/>
  <c r="F81" i="1"/>
  <c r="F25" i="1"/>
  <c r="F36" i="1"/>
  <c r="F35" i="1"/>
  <c r="F42" i="1"/>
  <c r="F21" i="1"/>
  <c r="F20" i="1"/>
  <c r="F28" i="1"/>
  <c r="F60" i="1"/>
  <c r="F33" i="1"/>
  <c r="F48" i="1"/>
  <c r="F34" i="1"/>
  <c r="F47" i="1"/>
  <c r="F37" i="1"/>
  <c r="F57" i="1"/>
  <c r="F56" i="1"/>
  <c r="F32" i="1"/>
  <c r="F40" i="1"/>
  <c r="F61" i="1"/>
  <c r="F62" i="1"/>
  <c r="F63" i="1"/>
  <c r="F64" i="1"/>
  <c r="F65" i="1"/>
  <c r="F66" i="1"/>
  <c r="F67" i="1"/>
  <c r="F68" i="1"/>
  <c r="F69" i="1"/>
  <c r="F70" i="1"/>
  <c r="F71" i="1"/>
  <c r="F72" i="1"/>
  <c r="F73" i="1"/>
  <c r="F74" i="1"/>
  <c r="F75" i="1"/>
  <c r="F76" i="1"/>
  <c r="F77" i="1"/>
  <c r="F78" i="1"/>
  <c r="F79" i="1"/>
  <c r="F80" i="1"/>
  <c r="F9" i="1"/>
  <c r="F14" i="1"/>
  <c r="F3" i="1"/>
  <c r="F12" i="1"/>
  <c r="F11" i="1"/>
  <c r="F13" i="1"/>
  <c r="F5" i="1"/>
  <c r="F7" i="1"/>
  <c r="F15" i="1"/>
  <c r="F10" i="1"/>
  <c r="F16" i="1"/>
  <c r="F8" i="1"/>
  <c r="F17" i="1"/>
  <c r="F6" i="1"/>
  <c r="F4" i="1"/>
  <c r="F82" i="1"/>
  <c r="F83" i="1"/>
  <c r="F84" i="1"/>
  <c r="F85" i="1"/>
  <c r="F18" i="1"/>
  <c r="F58" i="1"/>
  <c r="F86" i="1"/>
  <c r="F87" i="1"/>
  <c r="F27" i="1"/>
  <c r="F88" i="1"/>
  <c r="F89" i="1"/>
  <c r="F90" i="1"/>
  <c r="F91" i="1"/>
  <c r="F92" i="1"/>
  <c r="F93" i="1"/>
  <c r="F94" i="1"/>
  <c r="F95" i="1"/>
  <c r="F96" i="1"/>
  <c r="F97" i="1"/>
  <c r="F98" i="1"/>
  <c r="F99" i="1"/>
  <c r="F100" i="1"/>
  <c r="F101" i="1"/>
  <c r="F102" i="1"/>
  <c r="F103" i="1"/>
  <c r="F104" i="1"/>
  <c r="F105" i="1"/>
  <c r="F59" i="1"/>
  <c r="F106" i="1"/>
  <c r="F107" i="1"/>
  <c r="F108" i="1"/>
  <c r="F109" i="1"/>
  <c r="F110" i="1"/>
  <c r="F111" i="1"/>
  <c r="F112" i="1"/>
  <c r="F113" i="1"/>
  <c r="F2" i="1"/>
  <c r="F114" i="1"/>
  <c r="F39" i="1"/>
  <c r="J29" i="1"/>
  <c r="J44" i="1"/>
  <c r="J49" i="1"/>
  <c r="J51" i="1"/>
  <c r="J24" i="1"/>
  <c r="J41" i="1"/>
  <c r="J26" i="1"/>
  <c r="J52" i="1"/>
  <c r="J22" i="1"/>
  <c r="J30" i="1"/>
  <c r="J46" i="1"/>
  <c r="J50" i="1"/>
  <c r="J38" i="1"/>
  <c r="J31" i="1"/>
  <c r="J54" i="1"/>
  <c r="J55" i="1"/>
  <c r="J53" i="1"/>
  <c r="J45" i="1"/>
  <c r="J43" i="1"/>
  <c r="J19" i="1"/>
  <c r="J81" i="1"/>
  <c r="J25" i="1"/>
  <c r="J36" i="1"/>
  <c r="J35" i="1"/>
  <c r="J42" i="1"/>
  <c r="J21" i="1"/>
  <c r="J20" i="1"/>
  <c r="J28" i="1"/>
  <c r="J60" i="1"/>
  <c r="J33" i="1"/>
  <c r="J48" i="1"/>
  <c r="J34" i="1"/>
  <c r="J47" i="1"/>
  <c r="J37" i="1"/>
  <c r="J57" i="1"/>
  <c r="J56" i="1"/>
  <c r="J32" i="1"/>
  <c r="J40" i="1"/>
  <c r="J61" i="1"/>
  <c r="J62" i="1"/>
  <c r="J63" i="1"/>
  <c r="J64" i="1"/>
  <c r="J65" i="1"/>
  <c r="J66" i="1"/>
  <c r="J67" i="1"/>
  <c r="J68" i="1"/>
  <c r="J69" i="1"/>
  <c r="J70" i="1"/>
  <c r="J71" i="1"/>
  <c r="J72" i="1"/>
  <c r="J73" i="1"/>
  <c r="J74" i="1"/>
  <c r="J75" i="1"/>
  <c r="J76" i="1"/>
  <c r="J77" i="1"/>
  <c r="J78" i="1"/>
  <c r="J79" i="1"/>
  <c r="J80" i="1"/>
  <c r="J9" i="1"/>
  <c r="J14" i="1"/>
  <c r="J3" i="1"/>
  <c r="J12" i="1"/>
  <c r="J11" i="1"/>
  <c r="J13" i="1"/>
  <c r="J5" i="1"/>
  <c r="J7" i="1"/>
  <c r="J15" i="1"/>
  <c r="J10" i="1"/>
  <c r="J16" i="1"/>
  <c r="J8" i="1"/>
  <c r="J17" i="1"/>
  <c r="J6" i="1"/>
  <c r="J4" i="1"/>
  <c r="J82" i="1"/>
  <c r="J83" i="1"/>
  <c r="J84" i="1"/>
  <c r="J85" i="1"/>
  <c r="J18" i="1"/>
  <c r="J58" i="1"/>
  <c r="J86" i="1"/>
  <c r="J87" i="1"/>
  <c r="J27" i="1"/>
  <c r="J88" i="1"/>
  <c r="J89" i="1"/>
  <c r="J90" i="1"/>
  <c r="J91" i="1"/>
  <c r="J92" i="1"/>
  <c r="J93" i="1"/>
  <c r="J94" i="1"/>
  <c r="J95" i="1"/>
  <c r="J96" i="1"/>
  <c r="J97" i="1"/>
  <c r="J98" i="1"/>
  <c r="J99" i="1"/>
  <c r="J100" i="1"/>
  <c r="J101" i="1"/>
  <c r="J102" i="1"/>
  <c r="J103" i="1"/>
  <c r="J104" i="1"/>
  <c r="J105" i="1"/>
  <c r="J59" i="1"/>
  <c r="J106" i="1"/>
  <c r="J107" i="1"/>
  <c r="J108" i="1"/>
  <c r="J109" i="1"/>
  <c r="J110" i="1"/>
  <c r="J111" i="1"/>
  <c r="J112" i="1"/>
  <c r="J113" i="1"/>
  <c r="J2" i="1"/>
  <c r="J114" i="1"/>
  <c r="J39" i="1"/>
  <c r="D29" i="1"/>
  <c r="D44" i="1"/>
  <c r="D49" i="1"/>
  <c r="D51" i="1"/>
  <c r="D24" i="1"/>
  <c r="D41" i="1"/>
  <c r="D26" i="1"/>
  <c r="D52" i="1"/>
  <c r="D22" i="1"/>
  <c r="D30" i="1"/>
  <c r="D46" i="1"/>
  <c r="D50" i="1"/>
  <c r="D38" i="1"/>
  <c r="D31" i="1"/>
  <c r="D54" i="1"/>
  <c r="D55" i="1"/>
  <c r="D53" i="1"/>
  <c r="D45" i="1"/>
  <c r="D43" i="1"/>
  <c r="D19" i="1"/>
  <c r="D4" i="1"/>
  <c r="D25" i="1"/>
  <c r="D36" i="1"/>
  <c r="D35" i="1"/>
  <c r="D42" i="1"/>
  <c r="D21" i="1"/>
  <c r="D20" i="1"/>
  <c r="D28" i="1"/>
  <c r="D60" i="1"/>
  <c r="D33" i="1"/>
  <c r="D48" i="1"/>
  <c r="D34" i="1"/>
  <c r="D47" i="1"/>
  <c r="D37" i="1"/>
  <c r="D57" i="1"/>
  <c r="D56" i="1"/>
  <c r="D32" i="1"/>
  <c r="D40" i="1"/>
  <c r="D61" i="1"/>
  <c r="D62" i="1"/>
  <c r="D63" i="1"/>
  <c r="D64" i="1"/>
  <c r="D65" i="1"/>
  <c r="D66" i="1"/>
  <c r="D67" i="1"/>
  <c r="D68" i="1"/>
  <c r="D69" i="1"/>
  <c r="D70" i="1"/>
  <c r="D71" i="1"/>
  <c r="D72" i="1"/>
  <c r="D73" i="1"/>
  <c r="D74" i="1"/>
  <c r="D75" i="1"/>
  <c r="D76" i="1"/>
  <c r="D77" i="1"/>
  <c r="D78" i="1"/>
  <c r="D79" i="1"/>
  <c r="D80" i="1"/>
  <c r="D9" i="1"/>
  <c r="D14" i="1"/>
  <c r="D3" i="1"/>
  <c r="D12" i="1"/>
  <c r="D11" i="1"/>
  <c r="D13" i="1"/>
  <c r="D5" i="1"/>
  <c r="D7" i="1"/>
  <c r="D81" i="1"/>
  <c r="D10" i="1"/>
  <c r="D16" i="1"/>
  <c r="D8" i="1"/>
  <c r="D17" i="1"/>
  <c r="D6" i="1"/>
  <c r="D15" i="1"/>
  <c r="D82" i="1"/>
  <c r="D83" i="1"/>
  <c r="D84" i="1"/>
  <c r="D85" i="1"/>
  <c r="D18" i="1"/>
  <c r="D58" i="1"/>
  <c r="D86" i="1"/>
  <c r="D87" i="1"/>
  <c r="D27" i="1"/>
  <c r="D88" i="1"/>
  <c r="D89" i="1"/>
  <c r="D90" i="1"/>
  <c r="D91" i="1"/>
  <c r="D92" i="1"/>
  <c r="D93" i="1"/>
  <c r="D94" i="1"/>
  <c r="D95" i="1"/>
  <c r="D96" i="1"/>
  <c r="D97" i="1"/>
  <c r="D98" i="1"/>
  <c r="D99" i="1"/>
  <c r="D100" i="1"/>
  <c r="D101" i="1"/>
  <c r="D102" i="1"/>
  <c r="D103" i="1"/>
  <c r="D104" i="1"/>
  <c r="D105" i="1"/>
  <c r="D59" i="1"/>
  <c r="D106" i="1"/>
  <c r="D107" i="1"/>
  <c r="D108" i="1"/>
  <c r="D109" i="1"/>
  <c r="D110" i="1"/>
  <c r="D111" i="1"/>
  <c r="D112" i="1"/>
  <c r="D113" i="1"/>
  <c r="D2" i="1"/>
  <c r="D114" i="1"/>
  <c r="D39" i="1"/>
  <c r="G29" i="1"/>
  <c r="G44" i="1"/>
  <c r="G49" i="1"/>
  <c r="G51" i="1"/>
  <c r="G24" i="1"/>
  <c r="G41" i="1"/>
  <c r="G26" i="1"/>
  <c r="G52" i="1"/>
  <c r="G22" i="1"/>
  <c r="G30" i="1"/>
  <c r="G46" i="1"/>
  <c r="G50" i="1"/>
  <c r="G38" i="1"/>
  <c r="G31" i="1"/>
  <c r="G54" i="1"/>
  <c r="G55" i="1"/>
  <c r="G53" i="1"/>
  <c r="G45" i="1"/>
  <c r="G43" i="1"/>
  <c r="G19" i="1"/>
  <c r="G81" i="1"/>
  <c r="G25" i="1"/>
  <c r="G36" i="1"/>
  <c r="G35" i="1"/>
  <c r="G42" i="1"/>
  <c r="G21" i="1"/>
  <c r="G20" i="1"/>
  <c r="G28" i="1"/>
  <c r="G60" i="1"/>
  <c r="G33" i="1"/>
  <c r="G48" i="1"/>
  <c r="G34" i="1"/>
  <c r="G47" i="1"/>
  <c r="G37" i="1"/>
  <c r="G57" i="1"/>
  <c r="G56" i="1"/>
  <c r="G32" i="1"/>
  <c r="G40" i="1"/>
  <c r="G61" i="1"/>
  <c r="G62" i="1"/>
  <c r="G63" i="1"/>
  <c r="G64" i="1"/>
  <c r="G65" i="1"/>
  <c r="G66" i="1"/>
  <c r="G67" i="1"/>
  <c r="G68" i="1"/>
  <c r="G69" i="1"/>
  <c r="G70" i="1"/>
  <c r="G71" i="1"/>
  <c r="G72" i="1"/>
  <c r="G73" i="1"/>
  <c r="G74" i="1"/>
  <c r="G75" i="1"/>
  <c r="G76" i="1"/>
  <c r="G77" i="1"/>
  <c r="G78" i="1"/>
  <c r="G79" i="1"/>
  <c r="G80" i="1"/>
  <c r="G9" i="1"/>
  <c r="G14" i="1"/>
  <c r="G3" i="1"/>
  <c r="G12" i="1"/>
  <c r="G11" i="1"/>
  <c r="G13" i="1"/>
  <c r="G5" i="1"/>
  <c r="G7" i="1"/>
  <c r="G15" i="1"/>
  <c r="G10" i="1"/>
  <c r="G16" i="1"/>
  <c r="G8" i="1"/>
  <c r="G17" i="1"/>
  <c r="G6" i="1"/>
  <c r="G4" i="1"/>
  <c r="G82" i="1"/>
  <c r="G83" i="1"/>
  <c r="G84" i="1"/>
  <c r="G85" i="1"/>
  <c r="G18" i="1"/>
  <c r="G58" i="1"/>
  <c r="G86" i="1"/>
  <c r="G87" i="1"/>
  <c r="G27" i="1"/>
  <c r="G88" i="1"/>
  <c r="G89" i="1"/>
  <c r="G90" i="1"/>
  <c r="G91" i="1"/>
  <c r="G92" i="1"/>
  <c r="G93" i="1"/>
  <c r="G94" i="1"/>
  <c r="G95" i="1"/>
  <c r="G96" i="1"/>
  <c r="G97" i="1"/>
  <c r="G98" i="1"/>
  <c r="G99" i="1"/>
  <c r="G100" i="1"/>
  <c r="G101" i="1"/>
  <c r="G102" i="1"/>
  <c r="G103" i="1"/>
  <c r="G104" i="1"/>
  <c r="G105" i="1"/>
  <c r="G59" i="1"/>
  <c r="G106" i="1"/>
  <c r="G107" i="1"/>
  <c r="G108" i="1"/>
  <c r="G109" i="1"/>
  <c r="G110" i="1"/>
  <c r="G111" i="1"/>
  <c r="G112" i="1"/>
  <c r="G113" i="1"/>
  <c r="G2" i="1"/>
  <c r="G114" i="1"/>
  <c r="G39" i="1"/>
  <c r="B115" i="1" l="1"/>
</calcChain>
</file>

<file path=xl/sharedStrings.xml><?xml version="1.0" encoding="utf-8"?>
<sst xmlns="http://schemas.openxmlformats.org/spreadsheetml/2006/main" count="282" uniqueCount="142">
  <si>
    <t>Product</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</si>
  <si>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</si>
  <si>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</si>
  <si>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</si>
  <si>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</si>
  <si>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</si>
  <si>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</si>
  <si>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</si>
  <si>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</si>
  <si>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</si>
  <si>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</si>
  <si>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</si>
  <si>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</si>
  <si>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</si>
  <si>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</si>
  <si>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</si>
  <si>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</si>
  <si>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</si>
  <si>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</si>
  <si>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</si>
  <si>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</si>
  <si>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</si>
  <si>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</si>
  <si>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</si>
  <si>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</si>
  <si>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</si>
  <si>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</si>
  <si>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</si>
  <si>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</si>
  <si>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</si>
  <si>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</si>
  <si>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</si>
  <si>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</si>
  <si>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</si>
  <si>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</si>
  <si>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</si>
  <si>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</si>
  <si>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</si>
  <si>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</si>
  <si>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</si>
  <si>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</si>
  <si>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</si>
  <si>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</si>
  <si>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</si>
  <si>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</si>
  <si>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</si>
  <si>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</si>
  <si>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</si>
  <si>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</si>
  <si>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</si>
  <si>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</si>
  <si>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</si>
  <si>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</si>
  <si>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</si>
  <si>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</si>
  <si>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</si>
  <si>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</si>
  <si>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</si>
  <si>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</si>
  <si>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</si>
  <si>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</si>
  <si>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</si>
  <si>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</si>
  <si>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</si>
  <si>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</si>
  <si>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</si>
  <si>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</si>
  <si>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</si>
  <si>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</si>
  <si>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</si>
  <si>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</si>
  <si>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</si>
  <si>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</si>
  <si>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</si>
  <si>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</si>
  <si>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</si>
  <si>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</si>
  <si>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</si>
  <si>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</si>
  <si>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</si>
  <si>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</si>
  <si>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</si>
  <si>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</si>
  <si>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</si>
  <si>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</si>
  <si>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</si>
  <si>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</si>
  <si>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</si>
  <si>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</si>
  <si>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</si>
  <si>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</si>
  <si>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</si>
  <si>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</si>
  <si>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</si>
  <si>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</si>
  <si>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</si>
  <si>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</si>
  <si>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</si>
  <si>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</si>
  <si>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</si>
  <si>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</si>
  <si>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</si>
  <si>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</si>
  <si>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</si>
  <si>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</si>
  <si>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</si>
  <si>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</si>
  <si>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</si>
  <si>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</si>
  <si>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</si>
  <si>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</si>
  <si>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</si>
  <si>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</si>
  <si>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</si>
  <si>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Pos. Reviews</t>
  </si>
  <si>
    <t>Not Provided</t>
  </si>
  <si>
    <t>Discount Amt.</t>
  </si>
  <si>
    <t>Rating Category</t>
  </si>
  <si>
    <t>Discount Category</t>
  </si>
  <si>
    <t>Row Labels</t>
  </si>
  <si>
    <t>Average</t>
  </si>
  <si>
    <t>Grand Total</t>
  </si>
  <si>
    <t>Count of Product</t>
  </si>
  <si>
    <t>Sum of Pos. Reviews</t>
  </si>
  <si>
    <t>Count of Pos. Reviews</t>
  </si>
  <si>
    <t>0.11-0.21</t>
  </si>
  <si>
    <t>0.21-0.31</t>
  </si>
  <si>
    <t>0.31-0.41</t>
  </si>
  <si>
    <t>24-223</t>
  </si>
  <si>
    <t>424-623</t>
  </si>
  <si>
    <t>624-823</t>
  </si>
  <si>
    <t>824-1023</t>
  </si>
  <si>
    <t>2224-2423</t>
  </si>
  <si>
    <t>Average of Rating</t>
  </si>
  <si>
    <t>Values</t>
  </si>
  <si>
    <t>Medium Discount</t>
  </si>
  <si>
    <t>Top 10 Products with High Discount</t>
  </si>
  <si>
    <t>Top 5 Highest rated Products</t>
  </si>
  <si>
    <t>Bottom 5 Lowest rated Products</t>
  </si>
  <si>
    <t>Average of Discount</t>
  </si>
  <si>
    <t>Top 10 Products with High Reviews</t>
  </si>
  <si>
    <t>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</si>
</sst>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9" fontId="0" fillId="0" borderId="0" xfId="0" applyNumberFormat="1"/>
    <xf numFmtId="2" fontId="0" fillId="0" borderId="0" xfId="0" applyNumberFormat="1"/>
    <xf numFmtId="3" fontId="0" fillId="0" borderId="0" xfId="0" applyNumberFormat="1"/>
    <xf numFmtId="0" fontId="16" fillId="0" borderId="0" xfId="0" applyFont="1"/>
    <xf numFmtId="0" fontId="0" fillId="0" borderId="0" xfId="0" pivotButton="1"/>
    <xf numFmtId="0" fontId="0" fillId="0" borderId="0" xfId="0" applyAlignment="1">
      <alignment horizontal="left"/>
    </xf>
    <xf numFmtId="2" fontId="16" fillId="0" borderId="0" xfId="0" applyNumberFormat="1" applyFont="1"/>
    <xf numFmtId="9" fontId="0" fillId="0" borderId="0" xfId="42" applyFont="1"/>
    <xf numFmtId="0" fontId="0" fillId="0" borderId="0" xfId="0"/>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font>
        <b/>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[Mwende_Jumia_Excel_dashboard.xlsx]Reviews vs Discount Percentage!PivotTable2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 between Discount Percentage and Reviews</a:t>
            </a: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1"/>
              </a:solidFill>
              <a:round/>
            </a:ln>
            <a:effectLst/>
          </c:spPr>
          <c:marker>
            <c:symbol val="none"/>
          </c:marker>
          <c:cat>
            <c:strRef>
              <c:f>'Reviews vs Discount Percentage'!$A$4:$A$7</c:f>
              <c:strCache>
                <c:ptCount val="3"/>
                <c:pt idx="0">
                  <c:v>0.11-0.21</c:v>
                </c:pt>
                <c:pt idx="1">
                  <c:v>0.21-0.31</c:v>
                </c:pt>
                <c:pt idx="2">
                  <c:v>0.31-0.41</c:v>
                </c:pt>
              </c:strCache>
            </c:strRef>
          </c:cat>
          <c:val>
            <c:numRef>
              <c:f>'Reviews vs Discount Percentage'!$B$4:$B$7</c:f>
              <c:numCache>
                <c:formatCode>General</c:formatCode>
                <c:ptCount val="3"/>
                <c:pt idx="0">
                  <c:v>1</c:v>
                </c:pt>
                <c:pt idx="1">
                  <c:v>3</c:v>
                </c:pt>
                <c:pt idx="2">
                  <c:v>5</c:v>
                </c:pt>
              </c:numCache>
            </c:numRef>
          </c:val>
          <c:smooth val="0"/>
          <c:extLst>
            <c:ext xmlns:c16="http://schemas.microsoft.com/office/drawing/2014/chart" uri="{C3380CC4-5D6E-409C-BE32-E72D297353CC}">
              <c16:uniqueId val="{00000000-B853-482F-8ABD-B9D3A413E50E}"/>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[Mwende_Jumia_Excel_dashboard.xlsx]Rating vs Reviews!PivotTable3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a:t>
            </a:r>
            <a:r>
              <a:rPr lang="en-US" baseline="0">
                <a:solidFill>
                  <a:schemeClr val="dk1"/>
                </a:solidFill>
                <a:latin typeface="+mn-lt"/>
                <a:ea typeface="+mn-ea"/>
                <a:cs typeface="+mn-cs"/>
              </a:rPr>
              <a:t> between Rating and Reviews</a:t>
            </a:r>
            <a:endParaRPr lang="en-US" baseline="0"/>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2"/>
              </a:solidFill>
              <a:round/>
            </a:ln>
            <a:effectLst/>
          </c:spPr>
          <c:marker>
            <c:symbol val="none"/>
          </c:marker>
          <c:cat>
            <c:strRef>
              <c:f>'Rating vs Reviews'!$A$4:$A$10</c:f>
              <c:strCache>
                <c:ptCount val="6"/>
                <c:pt idx="0">
                  <c:v>3</c:v>
                </c:pt>
                <c:pt idx="1">
                  <c:v>3.8</c:v>
                </c:pt>
                <c:pt idx="2">
                  <c:v>4</c:v>
                </c:pt>
                <c:pt idx="3">
                  <c:v>4.1</c:v>
                </c:pt>
                <c:pt idx="4">
                  <c:v>4.2</c:v>
                </c:pt>
                <c:pt idx="5">
                  <c:v>4.4</c:v>
                </c:pt>
              </c:strCache>
            </c:strRef>
          </c:cat>
          <c:val>
            <c:numRef>
              <c:f>'Rating vs Reviews'!$B$4:$B$10</c:f>
              <c:numCache>
                <c:formatCode>General</c:formatCode>
                <c:ptCount val="6"/>
                <c:pt idx="0">
                  <c:v>10</c:v>
                </c:pt>
                <c:pt idx="1">
                  <c:v>13</c:v>
                </c:pt>
                <c:pt idx="2">
                  <c:v>8</c:v>
                </c:pt>
                <c:pt idx="3">
                  <c:v>32</c:v>
                </c:pt>
                <c:pt idx="4">
                  <c:v>9</c:v>
                </c:pt>
                <c:pt idx="5">
                  <c:v>14</c:v>
                </c:pt>
              </c:numCache>
            </c:numRef>
          </c:val>
          <c:smooth val="0"/>
          <c:extLst>
            <c:ext xmlns:c16="http://schemas.microsoft.com/office/drawing/2014/chart" uri="{C3380CC4-5D6E-409C-BE32-E72D297353CC}">
              <c16:uniqueId val="{00000000-4DF8-44FA-B671-5587CDB09E29}"/>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[Mwende_Jumia_Excel_dashboard.xlsx]Discount vs Customer Engagement!PivotTable4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Higher</a:t>
            </a:r>
            <a:r>
              <a:rPr lang="en-US" baseline="0">
                <a:solidFill>
                  <a:schemeClr val="dk1"/>
                </a:solidFill>
                <a:latin typeface="+mn-lt"/>
                <a:ea typeface="+mn-ea"/>
                <a:cs typeface="+mn-cs"/>
              </a:rPr>
              <a:t> Discounts affecting Customer Engagement</a:t>
            </a:r>
            <a:endParaRPr lang="en-US" baseline="0">
              <a:solidFill>
                <a:schemeClr val="accent2">
                  <a:lumMod val="20000"/>
                  <a:lumOff val="80000"/>
                </a:schemeClr>
              </a:solidFill>
            </a:endParaRP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1"/>
            </a:solidFill>
            <a:ln>
              <a:noFill/>
            </a:ln>
            <a:effectLst/>
          </c:spPr>
          <c:invertIfNegative val="0"/>
          <c:cat>
            <c:strRef>
              <c:f>'Discount vs Customer Engagement'!$A$4:$A$9</c:f>
              <c:strCache>
                <c:ptCount val="5"/>
                <c:pt idx="0">
                  <c:v>24-223</c:v>
                </c:pt>
                <c:pt idx="1">
                  <c:v>424-623</c:v>
                </c:pt>
                <c:pt idx="2">
                  <c:v>624-823</c:v>
                </c:pt>
                <c:pt idx="3">
                  <c:v>824-1023</c:v>
                </c:pt>
                <c:pt idx="4">
                  <c:v>2224-2423</c:v>
                </c:pt>
              </c:strCache>
            </c:strRef>
          </c:cat>
          <c:val>
            <c:numRef>
              <c:f>'Discount vs Customer Engagement'!$B$4:$B$9</c:f>
              <c:numCache>
                <c:formatCode>General</c:formatCode>
                <c:ptCount val="5"/>
                <c:pt idx="0">
                  <c:v>12</c:v>
                </c:pt>
                <c:pt idx="1">
                  <c:v>22</c:v>
                </c:pt>
                <c:pt idx="2">
                  <c:v>42</c:v>
                </c:pt>
                <c:pt idx="3">
                  <c:v>5</c:v>
                </c:pt>
                <c:pt idx="4">
                  <c:v>5</c:v>
                </c:pt>
              </c:numCache>
            </c:numRef>
          </c:val>
          <c:extLst>
            <c:ext xmlns:c16="http://schemas.microsoft.com/office/drawing/2014/chart" uri="{C3380CC4-5D6E-409C-BE32-E72D297353CC}">
              <c16:uniqueId val="{00000000-1FFE-4F6B-A013-3711D7FF7C8F}"/>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[Mwende_Jumia_Excel_dashboard.xlsx]Discount vs Rating and Reviews!PivotTable1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Discount</a:t>
            </a:r>
            <a:r>
              <a:rPr lang="en-US" baseline="0">
                <a:solidFill>
                  <a:sysClr val="windowText" lastClr="000000"/>
                </a:solidFill>
              </a:rPr>
              <a:t> vs Rating and Reviews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4D-45E8-ABD3-959E4FA06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4D-45E8-ABD3-959E4FA06313}"/>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3.8444444444444437</c:v>
                </c:pt>
                <c:pt idx="1">
                  <c:v>86</c:v>
                </c:pt>
              </c:numCache>
            </c:numRef>
          </c:val>
          <c:extLst>
            <c:ext xmlns:c16="http://schemas.microsoft.com/office/drawing/2014/chart" uri="{C3380CC4-5D6E-409C-BE32-E72D297353CC}">
              <c16:uniqueId val="{00000000-DBB3-4F39-BF26-79126B8299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10 Discounted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1"/>
            </a:solidFill>
            <a:ln>
              <a:noFill/>
            </a:ln>
            <a:effectLst/>
          </c:spPr>
          <c:invertIfNegative val="0"/>
          <c:cat>
            <c:strRef>
              <c:f>'Top 10 Discounted Products'!$A$4:$A$13</c:f>
              <c:strCache>
                <c:ptCount val="9"/>
                <c:pt idx="0">
                  <c:v>32PCS Portable Cordless Drill Set With Cyclic Battery Drive -26 Variable Speed</c:v>
                </c:pt>
                <c:pt idx="1">
                  <c:v>Desk Foldable Fan Adjustable Fan Strong Wind 3 Gear Usb</c:v>
                </c:pt>
                <c:pt idx="2">
                  <c:v>LED Romantic Spaceship Starry Sky Projector,Children's Bedroom Night Light-Blue</c:v>
                </c:pt>
                <c:pt idx="3">
                  <c:v>Multifunction Laser Level With Adjustment Tripod</c:v>
                </c:pt>
                <c:pt idx="4">
                  <c:v>12 Litre Black Insulated Lunch Box</c:v>
                </c:pt>
                <c:pt idx="5">
                  <c:v>52 Pieces Cake Decorating Tool Set Gift Kit Baking Supplies</c:v>
                </c:pt>
                <c:pt idx="6">
                  <c:v>Large Lazy Inflatable Sofa Chairs PVC Lounger Seat Bag</c:v>
                </c:pt>
                <c:pt idx="7">
                  <c:v>Foldable Overbed Table/Desk</c:v>
                </c:pt>
                <c:pt idx="8">
                  <c:v>Genebre 115 In 1 Screwdriver Repairing Tool Set For IPhone Cellphone Hand Tool</c:v>
                </c:pt>
              </c:strCache>
            </c:strRef>
          </c:cat>
          <c:val>
            <c:numRef>
              <c:f>'Top 10 Discounted Products'!$B$4:$B$13</c:f>
              <c:numCache>
                <c:formatCode>General</c:formatCode>
                <c:ptCount val="9"/>
                <c:pt idx="0">
                  <c:v>0.39</c:v>
                </c:pt>
                <c:pt idx="1">
                  <c:v>0.37</c:v>
                </c:pt>
                <c:pt idx="2">
                  <c:v>0.35</c:v>
                </c:pt>
                <c:pt idx="3">
                  <c:v>0.33</c:v>
                </c:pt>
                <c:pt idx="4">
                  <c:v>0.32</c:v>
                </c:pt>
                <c:pt idx="5">
                  <c:v>0.3</c:v>
                </c:pt>
                <c:pt idx="6">
                  <c:v>0.28999999999999998</c:v>
                </c:pt>
                <c:pt idx="7">
                  <c:v>0.23</c:v>
                </c:pt>
                <c:pt idx="8">
                  <c:v>0.2</c:v>
                </c:pt>
              </c:numCache>
            </c:numRef>
          </c:val>
          <c:extLst>
            <c:ext xmlns:c16="http://schemas.microsoft.com/office/drawing/2014/chart" uri="{C3380CC4-5D6E-409C-BE32-E72D297353CC}">
              <c16:uniqueId val="{00000000-EE11-414A-A5B8-64885C2D9D00}"/>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10 Reviewed 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1"/>
            </a:solidFill>
            <a:ln>
              <a:noFill/>
            </a:ln>
            <a:effectLst/>
          </c:spPr>
          <c:invertIfNegative val="0"/>
          <c:cat>
            <c:strRef>
              <c:f>'Top 10 Reviewed Products'!$A$4:$A$13</c:f>
              <c:strCache>
                <c:ptCount val="9"/>
                <c:pt idx="0">
                  <c:v>52 Pieces Cake Decorating Tool Set Gift Kit Baking Supplies</c:v>
                </c:pt>
                <c:pt idx="1">
                  <c:v>Foldable Overbed Table/Desk</c:v>
                </c:pt>
                <c:pt idx="2">
                  <c:v>12 Litre Black Insulated Lunch Box</c:v>
                </c:pt>
                <c:pt idx="3">
                  <c:v>Genebre 115 In 1 Screwdriver Repairing Tool Set For IPhone Cellphone Hand Tool</c:v>
                </c:pt>
                <c:pt idx="4">
                  <c:v>Multifunction Laser Level With Adjustment Tripod</c:v>
                </c:pt>
                <c:pt idx="5">
                  <c:v>LED Romantic Spaceship Starry Sky Projector,Children's Bedroom Night Light-Blue</c:v>
                </c:pt>
                <c:pt idx="6">
                  <c:v>32PCS Portable Cordless Drill Set With Cyclic Battery Drive -26 Variable Speed</c:v>
                </c:pt>
                <c:pt idx="7">
                  <c:v>Large Lazy Inflatable Sofa Chairs PVC Lounger Seat Bag</c:v>
                </c:pt>
                <c:pt idx="8">
                  <c:v>Desk Foldable Fan Adjustable Fan Strong Wind 3 Gear Usb</c:v>
                </c:pt>
              </c:strCache>
            </c:strRef>
          </c:cat>
          <c:val>
            <c:numRef>
              <c:f>'Top 10 Reviewed Products'!$B$4:$B$13</c:f>
              <c:numCache>
                <c:formatCode>0.00</c:formatCode>
                <c:ptCount val="9"/>
                <c:pt idx="0">
                  <c:v>20</c:v>
                </c:pt>
                <c:pt idx="1">
                  <c:v>14</c:v>
                </c:pt>
                <c:pt idx="2">
                  <c:v>13</c:v>
                </c:pt>
                <c:pt idx="3">
                  <c:v>12</c:v>
                </c:pt>
                <c:pt idx="4">
                  <c:v>9</c:v>
                </c:pt>
                <c:pt idx="5">
                  <c:v>6</c:v>
                </c:pt>
                <c:pt idx="6">
                  <c:v>5</c:v>
                </c:pt>
                <c:pt idx="7">
                  <c:v>5</c:v>
                </c:pt>
                <c:pt idx="8">
                  <c:v>2</c:v>
                </c:pt>
              </c:numCache>
            </c:numRef>
          </c:val>
          <c:extLst>
            <c:ext xmlns:c16="http://schemas.microsoft.com/office/drawing/2014/chart" uri="{C3380CC4-5D6E-409C-BE32-E72D297353CC}">
              <c16:uniqueId val="{00000000-963B-477D-981B-C1A5AD46D7DE}"/>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[Mwende_Jumia_Excel_dashboard.xlsx]Bottom 5 Lowest Rated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1"/>
            </a:solidFill>
            <a:ln>
              <a:noFill/>
            </a:ln>
            <a:effectLst/>
          </c:spPr>
          <c:invertIfNegative val="0"/>
          <c:cat>
            <c:strRef>
              <c:f>'Bottom 5 Lowest Rated Products'!$A$4:$A$9</c:f>
              <c:strCache>
                <c:ptCount val="5"/>
                <c:pt idx="0">
                  <c:v>32PCS Portable Cordless Drill Set With Cyclic Battery Drive -26 Variable Speed</c:v>
                </c:pt>
                <c:pt idx="1">
                  <c:v>Large Lazy Inflatable Sofa Chairs PVC Lounger Seat Bag</c:v>
                </c:pt>
                <c:pt idx="2">
                  <c:v>12 Litre Black Insulated Lunch Box</c:v>
                </c:pt>
                <c:pt idx="3">
                  <c:v>Desk Foldable Fan Adjustable Fan Strong Wind 3 Gear Usb</c:v>
                </c:pt>
                <c:pt idx="4">
                  <c:v>LED Romantic Spaceship Starry Sky Projector,Children's Bedroom Night Light-Blue</c:v>
                </c:pt>
              </c:strCache>
            </c:strRef>
          </c:cat>
          <c:val>
            <c:numRef>
              <c:f>'Bottom 5 Lowest Rated Products'!$B$4:$B$9</c:f>
              <c:numCache>
                <c:formatCode>General</c:formatCode>
                <c:ptCount val="5"/>
                <c:pt idx="0">
                  <c:v>3</c:v>
                </c:pt>
                <c:pt idx="1">
                  <c:v>3</c:v>
                </c:pt>
                <c:pt idx="2">
                  <c:v>3.8</c:v>
                </c:pt>
                <c:pt idx="3">
                  <c:v>4</c:v>
                </c:pt>
                <c:pt idx="4">
                  <c:v>4</c:v>
                </c:pt>
              </c:numCache>
            </c:numRef>
          </c:val>
          <c:extLst>
            <c:ext xmlns:c16="http://schemas.microsoft.com/office/drawing/2014/chart" uri="{C3380CC4-5D6E-409C-BE32-E72D297353CC}">
              <c16:uniqueId val="{00000000-B6DC-4B53-84DE-4442F8025F1A}"/>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5 Highest Rated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1"/>
            </a:solidFill>
            <a:ln>
              <a:noFill/>
            </a:ln>
            <a:effectLst/>
          </c:spPr>
          <c:invertIfNegative val="0"/>
          <c:cat>
            <c:strRef>
              <c:f>'Top 5 Highest Rated Products'!$A$4:$A$10</c:f>
              <c:strCache>
                <c:ptCount val="6"/>
                <c:pt idx="0">
                  <c:v>Foldable Overbed Table/Desk</c:v>
                </c:pt>
                <c:pt idx="1">
                  <c:v>Multifunction Laser Level With Adjustment Tripod</c:v>
                </c:pt>
                <c:pt idx="2">
                  <c:v>52 Pieces Cake Decorating Tool Set Gift Kit Baking Supplies</c:v>
                </c:pt>
                <c:pt idx="3">
                  <c:v>Genebre 115 In 1 Screwdriver Repairing Tool Set For IPhone Cellphone Hand Tool</c:v>
                </c:pt>
                <c:pt idx="4">
                  <c:v>Desk Foldable Fan Adjustable Fan Strong Wind 3 Gear Usb</c:v>
                </c:pt>
                <c:pt idx="5">
                  <c:v>LED Romantic Spaceship Starry Sky Projector,Children's Bedroom Night Light-Blue</c:v>
                </c:pt>
              </c:strCache>
            </c:strRef>
          </c:cat>
          <c:val>
            <c:numRef>
              <c:f>'Top 5 Highest Rated Products'!$B$4:$B$10</c:f>
              <c:numCache>
                <c:formatCode>General</c:formatCode>
                <c:ptCount val="6"/>
                <c:pt idx="0">
                  <c:v>4.4000000000000004</c:v>
                </c:pt>
                <c:pt idx="1">
                  <c:v>4.2</c:v>
                </c:pt>
                <c:pt idx="2">
                  <c:v>4.0999999999999996</c:v>
                </c:pt>
                <c:pt idx="3">
                  <c:v>4.0999999999999996</c:v>
                </c:pt>
                <c:pt idx="4">
                  <c:v>4</c:v>
                </c:pt>
                <c:pt idx="5">
                  <c:v>4</c:v>
                </c:pt>
              </c:numCache>
            </c:numRef>
          </c:val>
          <c:extLst>
            <c:ext xmlns:c16="http://schemas.microsoft.com/office/drawing/2014/chart" uri="{C3380CC4-5D6E-409C-BE32-E72D297353CC}">
              <c16:uniqueId val="{00000000-62BC-46F4-B7E3-550B01176722}"/>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[Mwende_Jumia_Excel_dashboard.xlsx]Discount vs Rating and Reviews!PivotTable1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12-4ABB-B3C2-700F8BAF8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12-4ABB-B3C2-700F8BAF809E}"/>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3.8444444444444437</c:v>
                </c:pt>
                <c:pt idx="1">
                  <c:v>86</c:v>
                </c:pt>
              </c:numCache>
            </c:numRef>
          </c:val>
          <c:extLst>
            <c:ext xmlns:c16="http://schemas.microsoft.com/office/drawing/2014/chart" uri="{C3380CC4-5D6E-409C-BE32-E72D297353CC}">
              <c16:uniqueId val="{00000004-DC12-4ABB-B3C2-700F8BAF80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[Mwende_Jumia_Excel_dashboard.xlsx]Discount vs Customer Engagement!PivotTable4</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Higher</a:t>
            </a:r>
            <a:r>
              <a:rPr lang="en-US" baseline="0">
                <a:solidFill>
                  <a:schemeClr val="dk1"/>
                </a:solidFill>
                <a:latin typeface="+mn-lt"/>
                <a:ea typeface="+mn-ea"/>
                <a:cs typeface="+mn-cs"/>
              </a:rPr>
              <a:t> Discounts affecting Customer Engagement</a:t>
            </a:r>
            <a:endParaRPr lang="en-US" baseline="0">
              <a:solidFill>
                <a:schemeClr val="accent2">
                  <a:lumMod val="20000"/>
                  <a:lumOff val="80000"/>
                </a:schemeClr>
              </a:solidFill>
            </a:endParaRP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1"/>
            </a:solidFill>
            <a:ln>
              <a:noFill/>
            </a:ln>
            <a:effectLst/>
          </c:spPr>
          <c:invertIfNegative val="0"/>
          <c:cat>
            <c:strRef>
              <c:f>'Discount vs Customer Engagement'!$A$4:$A$9</c:f>
              <c:strCache>
                <c:ptCount val="5"/>
                <c:pt idx="0">
                  <c:v>24-223</c:v>
                </c:pt>
                <c:pt idx="1">
                  <c:v>424-623</c:v>
                </c:pt>
                <c:pt idx="2">
                  <c:v>624-823</c:v>
                </c:pt>
                <c:pt idx="3">
                  <c:v>824-1023</c:v>
                </c:pt>
                <c:pt idx="4">
                  <c:v>2224-2423</c:v>
                </c:pt>
              </c:strCache>
            </c:strRef>
          </c:cat>
          <c:val>
            <c:numRef>
              <c:f>'Discount vs Customer Engagement'!$B$4:$B$9</c:f>
              <c:numCache>
                <c:formatCode>General</c:formatCode>
                <c:ptCount val="5"/>
                <c:pt idx="0">
                  <c:v>12</c:v>
                </c:pt>
                <c:pt idx="1">
                  <c:v>22</c:v>
                </c:pt>
                <c:pt idx="2">
                  <c:v>42</c:v>
                </c:pt>
                <c:pt idx="3">
                  <c:v>5</c:v>
                </c:pt>
                <c:pt idx="4">
                  <c:v>5</c:v>
                </c:pt>
              </c:numCache>
            </c:numRef>
          </c:val>
          <c:extLst>
            <c:ext xmlns:c16="http://schemas.microsoft.com/office/drawing/2014/chart" uri="{C3380CC4-5D6E-409C-BE32-E72D297353CC}">
              <c16:uniqueId val="{00000000-C2B4-4AD3-900A-28BD0041D95A}"/>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[Mwende_Jumia_Excel_dashboard.xlsx]Rating vs Reviews!PivotTable3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a:t>
            </a:r>
            <a:r>
              <a:rPr lang="en-US" baseline="0">
                <a:solidFill>
                  <a:schemeClr val="dk1"/>
                </a:solidFill>
                <a:latin typeface="+mn-lt"/>
                <a:ea typeface="+mn-ea"/>
                <a:cs typeface="+mn-cs"/>
              </a:rPr>
              <a:t> between Rating and Reviews</a:t>
            </a:r>
            <a:endParaRPr lang="en-US" baseline="0"/>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1"/>
              </a:solidFill>
              <a:round/>
            </a:ln>
            <a:effectLst/>
          </c:spPr>
          <c:marker>
            <c:symbol val="none"/>
          </c:marker>
          <c:cat>
            <c:strRef>
              <c:f>'Rating vs Reviews'!$A$4:$A$10</c:f>
              <c:strCache>
                <c:ptCount val="6"/>
                <c:pt idx="0">
                  <c:v>3</c:v>
                </c:pt>
                <c:pt idx="1">
                  <c:v>3.8</c:v>
                </c:pt>
                <c:pt idx="2">
                  <c:v>4</c:v>
                </c:pt>
                <c:pt idx="3">
                  <c:v>4.1</c:v>
                </c:pt>
                <c:pt idx="4">
                  <c:v>4.2</c:v>
                </c:pt>
                <c:pt idx="5">
                  <c:v>4.4</c:v>
                </c:pt>
              </c:strCache>
            </c:strRef>
          </c:cat>
          <c:val>
            <c:numRef>
              <c:f>'Rating vs Reviews'!$B$4:$B$10</c:f>
              <c:numCache>
                <c:formatCode>General</c:formatCode>
                <c:ptCount val="6"/>
                <c:pt idx="0">
                  <c:v>10</c:v>
                </c:pt>
                <c:pt idx="1">
                  <c:v>13</c:v>
                </c:pt>
                <c:pt idx="2">
                  <c:v>8</c:v>
                </c:pt>
                <c:pt idx="3">
                  <c:v>32</c:v>
                </c:pt>
                <c:pt idx="4">
                  <c:v>9</c:v>
                </c:pt>
                <c:pt idx="5">
                  <c:v>14</c:v>
                </c:pt>
              </c:numCache>
            </c:numRef>
          </c:val>
          <c:smooth val="0"/>
          <c:extLst>
            <c:ext xmlns:c16="http://schemas.microsoft.com/office/drawing/2014/chart" uri="{C3380CC4-5D6E-409C-BE32-E72D297353CC}">
              <c16:uniqueId val="{00000000-2150-4862-A76D-AA6EB02432F3}"/>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[Mwende_Jumia_Excel_dashboard.xlsx]Reviews vs Discount Percentage!PivotTable2</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Relationship between Discount Percentage and Reviews</a:t>
            </a:r>
          </a:p>
        </c:rich>
      </c:tx>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1"/>
              </a:solidFill>
              <a:round/>
            </a:ln>
            <a:effectLst/>
          </c:spPr>
          <c:marker>
            <c:symbol val="none"/>
          </c:marker>
          <c:cat>
            <c:strRef>
              <c:f>'Reviews vs Discount Percentage'!$A$4:$A$7</c:f>
              <c:strCache>
                <c:ptCount val="3"/>
                <c:pt idx="0">
                  <c:v>0.11-0.21</c:v>
                </c:pt>
                <c:pt idx="1">
                  <c:v>0.21-0.31</c:v>
                </c:pt>
                <c:pt idx="2">
                  <c:v>0.31-0.41</c:v>
                </c:pt>
              </c:strCache>
            </c:strRef>
          </c:cat>
          <c:val>
            <c:numRef>
              <c:f>'Reviews vs Discount Percentage'!$B$4:$B$7</c:f>
              <c:numCache>
                <c:formatCode>General</c:formatCode>
                <c:ptCount val="3"/>
                <c:pt idx="0">
                  <c:v>1</c:v>
                </c:pt>
                <c:pt idx="1">
                  <c:v>3</c:v>
                </c:pt>
                <c:pt idx="2">
                  <c:v>5</c:v>
                </c:pt>
              </c:numCache>
            </c:numRef>
          </c:val>
          <c:smooth val="0"/>
          <c:extLst>
            <c:ext xmlns:c16="http://schemas.microsoft.com/office/drawing/2014/chart" uri="{C3380CC4-5D6E-409C-BE32-E72D297353CC}">
              <c16:uniqueId val="{00000000-E137-41B0-ABB0-DFDB5D82F790}"/>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5 Highest Rated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1"/>
            </a:solidFill>
            <a:ln>
              <a:noFill/>
            </a:ln>
            <a:effectLst/>
          </c:spPr>
          <c:invertIfNegative val="0"/>
          <c:cat>
            <c:strRef>
              <c:f>'Top 5 Highest Rated Products'!$A$4:$A$10</c:f>
              <c:strCache>
                <c:ptCount val="6"/>
                <c:pt idx="0">
                  <c:v>Foldable Overbed Table/Desk</c:v>
                </c:pt>
                <c:pt idx="1">
                  <c:v>Multifunction Laser Level With Adjustment Tripod</c:v>
                </c:pt>
                <c:pt idx="2">
                  <c:v>52 Pieces Cake Decorating Tool Set Gift Kit Baking Supplies</c:v>
                </c:pt>
                <c:pt idx="3">
                  <c:v>Genebre 115 In 1 Screwdriver Repairing Tool Set For IPhone Cellphone Hand Tool</c:v>
                </c:pt>
                <c:pt idx="4">
                  <c:v>Desk Foldable Fan Adjustable Fan Strong Wind 3 Gear Usb</c:v>
                </c:pt>
                <c:pt idx="5">
                  <c:v>LED Romantic Spaceship Starry Sky Projector,Children's Bedroom Night Light-Blue</c:v>
                </c:pt>
              </c:strCache>
            </c:strRef>
          </c:cat>
          <c:val>
            <c:numRef>
              <c:f>'Top 5 Highest Rated Products'!$B$4:$B$10</c:f>
              <c:numCache>
                <c:formatCode>General</c:formatCode>
                <c:ptCount val="6"/>
                <c:pt idx="0">
                  <c:v>4.4000000000000004</c:v>
                </c:pt>
                <c:pt idx="1">
                  <c:v>4.2</c:v>
                </c:pt>
                <c:pt idx="2">
                  <c:v>4.0999999999999996</c:v>
                </c:pt>
                <c:pt idx="3">
                  <c:v>4.0999999999999996</c:v>
                </c:pt>
                <c:pt idx="4">
                  <c:v>4</c:v>
                </c:pt>
                <c:pt idx="5">
                  <c:v>4</c:v>
                </c:pt>
              </c:numCache>
            </c:numRef>
          </c:val>
          <c:extLst>
            <c:ext xmlns:c16="http://schemas.microsoft.com/office/drawing/2014/chart" uri="{C3380CC4-5D6E-409C-BE32-E72D297353CC}">
              <c16:uniqueId val="{00000000-BBD5-41D0-B9EC-A519EE8A4455}"/>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10 Reviewed Products!PivotTable2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1"/>
            </a:solidFill>
            <a:ln>
              <a:noFill/>
            </a:ln>
            <a:effectLst/>
          </c:spPr>
          <c:invertIfNegative val="0"/>
          <c:cat>
            <c:strRef>
              <c:f>'Top 10 Reviewed Products'!$A$4:$A$13</c:f>
              <c:strCache>
                <c:ptCount val="9"/>
                <c:pt idx="0">
                  <c:v>52 Pieces Cake Decorating Tool Set Gift Kit Baking Supplies</c:v>
                </c:pt>
                <c:pt idx="1">
                  <c:v>Foldable Overbed Table/Desk</c:v>
                </c:pt>
                <c:pt idx="2">
                  <c:v>12 Litre Black Insulated Lunch Box</c:v>
                </c:pt>
                <c:pt idx="3">
                  <c:v>Genebre 115 In 1 Screwdriver Repairing Tool Set For IPhone Cellphone Hand Tool</c:v>
                </c:pt>
                <c:pt idx="4">
                  <c:v>Multifunction Laser Level With Adjustment Tripod</c:v>
                </c:pt>
                <c:pt idx="5">
                  <c:v>LED Romantic Spaceship Starry Sky Projector,Children's Bedroom Night Light-Blue</c:v>
                </c:pt>
                <c:pt idx="6">
                  <c:v>32PCS Portable Cordless Drill Set With Cyclic Battery Drive -26 Variable Speed</c:v>
                </c:pt>
                <c:pt idx="7">
                  <c:v>Large Lazy Inflatable Sofa Chairs PVC Lounger Seat Bag</c:v>
                </c:pt>
                <c:pt idx="8">
                  <c:v>Desk Foldable Fan Adjustable Fan Strong Wind 3 Gear Usb</c:v>
                </c:pt>
              </c:strCache>
            </c:strRef>
          </c:cat>
          <c:val>
            <c:numRef>
              <c:f>'Top 10 Reviewed Products'!$B$4:$B$13</c:f>
              <c:numCache>
                <c:formatCode>0.00</c:formatCode>
                <c:ptCount val="9"/>
                <c:pt idx="0">
                  <c:v>20</c:v>
                </c:pt>
                <c:pt idx="1">
                  <c:v>14</c:v>
                </c:pt>
                <c:pt idx="2">
                  <c:v>13</c:v>
                </c:pt>
                <c:pt idx="3">
                  <c:v>12</c:v>
                </c:pt>
                <c:pt idx="4">
                  <c:v>9</c:v>
                </c:pt>
                <c:pt idx="5">
                  <c:v>6</c:v>
                </c:pt>
                <c:pt idx="6">
                  <c:v>5</c:v>
                </c:pt>
                <c:pt idx="7">
                  <c:v>5</c:v>
                </c:pt>
                <c:pt idx="8">
                  <c:v>2</c:v>
                </c:pt>
              </c:numCache>
            </c:numRef>
          </c:val>
          <c:extLst>
            <c:ext xmlns:c16="http://schemas.microsoft.com/office/drawing/2014/chart" uri="{C3380CC4-5D6E-409C-BE32-E72D297353CC}">
              <c16:uniqueId val="{00000000-2711-4C87-BB67-05FD603746E3}"/>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[Mwende_Jumia_Excel_dashboard.xlsx]Bottom 5 Lowest Rated Products!PivotTable3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1"/>
            </a:solidFill>
            <a:ln>
              <a:noFill/>
            </a:ln>
            <a:effectLst/>
          </c:spPr>
          <c:invertIfNegative val="0"/>
          <c:cat>
            <c:strRef>
              <c:f>'Bottom 5 Lowest Rated Products'!$A$4:$A$9</c:f>
              <c:strCache>
                <c:ptCount val="5"/>
                <c:pt idx="0">
                  <c:v>32PCS Portable Cordless Drill Set With Cyclic Battery Drive -26 Variable Speed</c:v>
                </c:pt>
                <c:pt idx="1">
                  <c:v>Large Lazy Inflatable Sofa Chairs PVC Lounger Seat Bag</c:v>
                </c:pt>
                <c:pt idx="2">
                  <c:v>12 Litre Black Insulated Lunch Box</c:v>
                </c:pt>
                <c:pt idx="3">
                  <c:v>Desk Foldable Fan Adjustable Fan Strong Wind 3 Gear Usb</c:v>
                </c:pt>
                <c:pt idx="4">
                  <c:v>LED Romantic Spaceship Starry Sky Projector,Children's Bedroom Night Light-Blue</c:v>
                </c:pt>
              </c:strCache>
            </c:strRef>
          </c:cat>
          <c:val>
            <c:numRef>
              <c:f>'Bottom 5 Lowest Rated Products'!$B$4:$B$9</c:f>
              <c:numCache>
                <c:formatCode>General</c:formatCode>
                <c:ptCount val="5"/>
                <c:pt idx="0">
                  <c:v>3</c:v>
                </c:pt>
                <c:pt idx="1">
                  <c:v>3</c:v>
                </c:pt>
                <c:pt idx="2">
                  <c:v>3.8</c:v>
                </c:pt>
                <c:pt idx="3">
                  <c:v>4</c:v>
                </c:pt>
                <c:pt idx="4">
                  <c:v>4</c:v>
                </c:pt>
              </c:numCache>
            </c:numRef>
          </c:val>
          <c:extLst>
            <c:ext xmlns:c16="http://schemas.microsoft.com/office/drawing/2014/chart" uri="{C3380CC4-5D6E-409C-BE32-E72D297353CC}">
              <c16:uniqueId val="{00000000-401C-4B9B-98B7-672719ED0E45}"/>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[Mwende_Jumia_Excel_dashboard.xlsx]Top 10 Discounted Products!PivotTable1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1"/>
            </a:solidFill>
            <a:ln>
              <a:noFill/>
            </a:ln>
            <a:effectLst/>
          </c:spPr>
          <c:invertIfNegative val="0"/>
          <c:cat>
            <c:strRef>
              <c:f>'Top 10 Discounted Products'!$A$4:$A$13</c:f>
              <c:strCache>
                <c:ptCount val="9"/>
                <c:pt idx="0">
                  <c:v>32PCS Portable Cordless Drill Set With Cyclic Battery Drive -26 Variable Speed</c:v>
                </c:pt>
                <c:pt idx="1">
                  <c:v>Desk Foldable Fan Adjustable Fan Strong Wind 3 Gear Usb</c:v>
                </c:pt>
                <c:pt idx="2">
                  <c:v>LED Romantic Spaceship Starry Sky Projector,Children's Bedroom Night Light-Blue</c:v>
                </c:pt>
                <c:pt idx="3">
                  <c:v>Multifunction Laser Level With Adjustment Tripod</c:v>
                </c:pt>
                <c:pt idx="4">
                  <c:v>12 Litre Black Insulated Lunch Box</c:v>
                </c:pt>
                <c:pt idx="5">
                  <c:v>52 Pieces Cake Decorating Tool Set Gift Kit Baking Supplies</c:v>
                </c:pt>
                <c:pt idx="6">
                  <c:v>Large Lazy Inflatable Sofa Chairs PVC Lounger Seat Bag</c:v>
                </c:pt>
                <c:pt idx="7">
                  <c:v>Foldable Overbed Table/Desk</c:v>
                </c:pt>
                <c:pt idx="8">
                  <c:v>Genebre 115 In 1 Screwdriver Repairing Tool Set For IPhone Cellphone Hand Tool</c:v>
                </c:pt>
              </c:strCache>
            </c:strRef>
          </c:cat>
          <c:val>
            <c:numRef>
              <c:f>'Top 10 Discounted Products'!$B$4:$B$13</c:f>
              <c:numCache>
                <c:formatCode>General</c:formatCode>
                <c:ptCount val="9"/>
                <c:pt idx="0">
                  <c:v>0.39</c:v>
                </c:pt>
                <c:pt idx="1">
                  <c:v>0.37</c:v>
                </c:pt>
                <c:pt idx="2">
                  <c:v>0.35</c:v>
                </c:pt>
                <c:pt idx="3">
                  <c:v>0.33</c:v>
                </c:pt>
                <c:pt idx="4">
                  <c:v>0.32</c:v>
                </c:pt>
                <c:pt idx="5">
                  <c:v>0.3</c:v>
                </c:pt>
                <c:pt idx="6">
                  <c:v>0.28999999999999998</c:v>
                </c:pt>
                <c:pt idx="7">
                  <c:v>0.23</c:v>
                </c:pt>
                <c:pt idx="8">
                  <c:v>0.2</c:v>
                </c:pt>
              </c:numCache>
            </c:numRef>
          </c:val>
          <c:extLst>
            <c:ext xmlns:c16="http://schemas.microsoft.com/office/drawing/2014/chart" uri="{C3380CC4-5D6E-409C-BE32-E72D297353CC}">
              <c16:uniqueId val="{00000000-DA6F-45DC-B9C1-779A2427C2A1}"/>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3175</xdr:rowOff>
    </xdr:from>
    <xdr:to>
      <xdr:col>9</xdr:col>
      <xdr:colOff>552450</xdr:colOff>
      <xdr:row>16</xdr:row>
      <xdr:rowOff>168275</xdr:rowOff>
    </xdr:to>
    <xdr:graphicFrame macro="">
      <xdr:nvGraphicFramePr>
        <xdr:cNvPr id="2" name="Chart 1">
          <a:extLst>
            <a:ext uri="{FF2B5EF4-FFF2-40B4-BE49-F238E27FC236}">
              <a16:creationId xmlns:a16="http://schemas.microsoft.com/office/drawing/2014/main" id="{D0611625-980E-E4C8-6DF4-0984280A1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1</xdr:row>
      <xdr:rowOff>180975</xdr:rowOff>
    </xdr:from>
    <xdr:to>
      <xdr:col>10</xdr:col>
      <xdr:colOff>165100</xdr:colOff>
      <xdr:row>16</xdr:row>
      <xdr:rowOff>161925</xdr:rowOff>
    </xdr:to>
    <xdr:graphicFrame macro="">
      <xdr:nvGraphicFramePr>
        <xdr:cNvPr id="3" name="Chart 2">
          <a:extLst>
            <a:ext uri="{FF2B5EF4-FFF2-40B4-BE49-F238E27FC236}">
              <a16:creationId xmlns:a16="http://schemas.microsoft.com/office/drawing/2014/main" id="{0C65B0B9-4BF4-5485-3202-C760B1EF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171450</xdr:rowOff>
    </xdr:from>
    <xdr:to>
      <xdr:col>9</xdr:col>
      <xdr:colOff>514350</xdr:colOff>
      <xdr:row>16</xdr:row>
      <xdr:rowOff>152400</xdr:rowOff>
    </xdr:to>
    <xdr:graphicFrame macro="">
      <xdr:nvGraphicFramePr>
        <xdr:cNvPr id="2" name="Chart 1">
          <a:extLst>
            <a:ext uri="{FF2B5EF4-FFF2-40B4-BE49-F238E27FC236}">
              <a16:creationId xmlns:a16="http://schemas.microsoft.com/office/drawing/2014/main" id="{0746FC03-CE2A-4495-E251-7C5EBB95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6350</xdr:colOff>
      <xdr:row>2</xdr:row>
      <xdr:rowOff>1</xdr:rowOff>
    </xdr:from>
    <xdr:to>
      <xdr:col>6</xdr:col>
      <xdr:colOff>6350</xdr:colOff>
      <xdr:row>9</xdr:row>
      <xdr:rowOff>107951</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1F4CA2A7-0497-35F6-1165-8CC43D7588F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736850" y="368301"/>
              <a:ext cx="18288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641350</xdr:colOff>
      <xdr:row>6</xdr:row>
      <xdr:rowOff>146050</xdr:rowOff>
    </xdr:from>
    <xdr:to>
      <xdr:col>1</xdr:col>
      <xdr:colOff>1219200</xdr:colOff>
      <xdr:row>14</xdr:row>
      <xdr:rowOff>146049</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D7D2D6A0-F5EA-5953-D98C-AF499F94292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41350" y="125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127000</xdr:colOff>
      <xdr:row>2</xdr:row>
      <xdr:rowOff>41275</xdr:rowOff>
    </xdr:from>
    <xdr:to>
      <xdr:col>20</xdr:col>
      <xdr:colOff>12700</xdr:colOff>
      <xdr:row>17</xdr:row>
      <xdr:rowOff>22225</xdr:rowOff>
    </xdr:to>
    <xdr:graphicFrame macro="">
      <xdr:nvGraphicFramePr>
        <xdr:cNvPr id="3" name="Chart 2">
          <a:extLst>
            <a:ext uri="{FF2B5EF4-FFF2-40B4-BE49-F238E27FC236}">
              <a16:creationId xmlns:a16="http://schemas.microsoft.com/office/drawing/2014/main" id="{6DFB8BBC-BFDD-7BE0-AF2A-988C22C95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171450</xdr:colOff>
      <xdr:row>1</xdr:row>
      <xdr:rowOff>136525</xdr:rowOff>
    </xdr:from>
    <xdr:to>
      <xdr:col>9</xdr:col>
      <xdr:colOff>476250</xdr:colOff>
      <xdr:row>16</xdr:row>
      <xdr:rowOff>117475</xdr:rowOff>
    </xdr:to>
    <xdr:graphicFrame macro="">
      <xdr:nvGraphicFramePr>
        <xdr:cNvPr id="2" name="Chart 1">
          <a:extLst>
            <a:ext uri="{FF2B5EF4-FFF2-40B4-BE49-F238E27FC236}">
              <a16:creationId xmlns:a16="http://schemas.microsoft.com/office/drawing/2014/main" id="{D6D4C395-7DDC-5EA7-601B-EACDD722F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133350</xdr:colOff>
      <xdr:row>1</xdr:row>
      <xdr:rowOff>136525</xdr:rowOff>
    </xdr:from>
    <xdr:to>
      <xdr:col>9</xdr:col>
      <xdr:colOff>438150</xdr:colOff>
      <xdr:row>16</xdr:row>
      <xdr:rowOff>117475</xdr:rowOff>
    </xdr:to>
    <xdr:graphicFrame macro="">
      <xdr:nvGraphicFramePr>
        <xdr:cNvPr id="2" name="Chart 1">
          <a:extLst>
            <a:ext uri="{FF2B5EF4-FFF2-40B4-BE49-F238E27FC236}">
              <a16:creationId xmlns:a16="http://schemas.microsoft.com/office/drawing/2014/main" id="{EACE8879-7DE1-C64B-8932-D436DDA32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285750</xdr:colOff>
      <xdr:row>1</xdr:row>
      <xdr:rowOff>155575</xdr:rowOff>
    </xdr:from>
    <xdr:to>
      <xdr:col>9</xdr:col>
      <xdr:colOff>590550</xdr:colOff>
      <xdr:row>16</xdr:row>
      <xdr:rowOff>136525</xdr:rowOff>
    </xdr:to>
    <xdr:graphicFrame macro="">
      <xdr:nvGraphicFramePr>
        <xdr:cNvPr id="2" name="Chart 1">
          <a:extLst>
            <a:ext uri="{FF2B5EF4-FFF2-40B4-BE49-F238E27FC236}">
              <a16:creationId xmlns:a16="http://schemas.microsoft.com/office/drawing/2014/main" id="{BFF66BA7-4AA4-B1C3-42C6-210C76C7F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292100</xdr:colOff>
      <xdr:row>1</xdr:row>
      <xdr:rowOff>174625</xdr:rowOff>
    </xdr:from>
    <xdr:to>
      <xdr:col>9</xdr:col>
      <xdr:colOff>596900</xdr:colOff>
      <xdr:row>16</xdr:row>
      <xdr:rowOff>155575</xdr:rowOff>
    </xdr:to>
    <xdr:graphicFrame macro="">
      <xdr:nvGraphicFramePr>
        <xdr:cNvPr id="2" name="Chart 1">
          <a:extLst>
            <a:ext uri="{FF2B5EF4-FFF2-40B4-BE49-F238E27FC236}">
              <a16:creationId xmlns:a16="http://schemas.microsoft.com/office/drawing/2014/main" id="{925D1BD1-DF76-9BB6-9026-89E7D1881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444500</xdr:colOff>
      <xdr:row>0</xdr:row>
      <xdr:rowOff>177800</xdr:rowOff>
    </xdr:from>
    <xdr:to>
      <xdr:col>19</xdr:col>
      <xdr:colOff>495300</xdr:colOff>
      <xdr:row>5</xdr:row>
      <xdr:rowOff>0</xdr:rowOff>
    </xdr:to>
    <xdr:sp macro="" textlink="">
      <xdr:nvSpPr>
        <xdr:cNvPr id="2" name="Rectangle: Rounded Corners 1">
          <a:extLst>
            <a:ext uri="{FF2B5EF4-FFF2-40B4-BE49-F238E27FC236}">
              <a16:creationId xmlns:a16="http://schemas.microsoft.com/office/drawing/2014/main" id="{503D2980-DE6D-B75D-61AB-E8CE38A7063B}"/>
            </a:ext>
          </a:extLst>
        </xdr:cNvPr>
        <xdr:cNvSpPr/>
      </xdr:nvSpPr>
      <xdr:spPr>
        <a:xfrm>
          <a:off x="1054100" y="177800"/>
          <a:ext cx="1102360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0">
              <a:solidFill>
                <a:schemeClr val="accent2"/>
              </a:solidFill>
            </a:rPr>
            <a:t>JUMIA</a:t>
          </a:r>
          <a:r>
            <a:rPr lang="en-US" sz="4400" b="0" baseline="0">
              <a:solidFill>
                <a:schemeClr val="accent2"/>
              </a:solidFill>
            </a:rPr>
            <a:t> DATA ANALYSIS DASHBOARD</a:t>
          </a:r>
          <a:endParaRPr lang="en-US" sz="4400" b="0">
            <a:solidFill>
              <a:schemeClr val="accent2"/>
            </a:solidFill>
          </a:endParaRPr>
        </a:p>
      </xdr:txBody>
    </xdr:sp>
    <xdr:clientData/>
  </xdr:twoCellAnchor>
  <xdr:twoCellAnchor>
    <xdr:from>
      <xdr:col>3</xdr:col>
      <xdr:colOff>95250</xdr:colOff>
      <xdr:row>5</xdr:row>
      <xdr:rowOff>171450</xdr:rowOff>
    </xdr:from>
    <xdr:to>
      <xdr:col>5</xdr:col>
      <xdr:colOff>603250</xdr:colOff>
      <xdr:row>9</xdr:row>
      <xdr:rowOff>152400</xdr:rowOff>
    </xdr:to>
    <xdr:sp macro="" textlink="">
      <xdr:nvSpPr>
        <xdr:cNvPr id="3" name="Rectangle: Rounded Corners 2">
          <a:extLst>
            <a:ext uri="{FF2B5EF4-FFF2-40B4-BE49-F238E27FC236}">
              <a16:creationId xmlns:a16="http://schemas.microsoft.com/office/drawing/2014/main" id="{DD97D637-D01C-64F9-27EC-D09A0D07A4AD}"/>
            </a:ext>
          </a:extLst>
        </xdr:cNvPr>
        <xdr:cNvSpPr/>
      </xdr:nvSpPr>
      <xdr:spPr>
        <a:xfrm>
          <a:off x="1924050" y="1092200"/>
          <a:ext cx="1727200" cy="717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a:t>
          </a:r>
          <a:r>
            <a:rPr lang="en-US" sz="1100" baseline="0">
              <a:solidFill>
                <a:sysClr val="windowText" lastClr="000000"/>
              </a:solidFill>
            </a:rPr>
            <a:t> No. of Products: </a:t>
          </a:r>
        </a:p>
        <a:p>
          <a:pPr algn="ctr"/>
          <a:r>
            <a:rPr lang="en-US" sz="1100" baseline="0">
              <a:solidFill>
                <a:sysClr val="windowText" lastClr="000000"/>
              </a:solidFill>
            </a:rPr>
            <a:t>114</a:t>
          </a:r>
          <a:endParaRPr lang="en-US" sz="1100">
            <a:solidFill>
              <a:sysClr val="windowText" lastClr="000000"/>
            </a:solidFill>
          </a:endParaRPr>
        </a:p>
      </xdr:txBody>
    </xdr:sp>
    <xdr:clientData/>
  </xdr:twoCellAnchor>
  <xdr:twoCellAnchor>
    <xdr:from>
      <xdr:col>7</xdr:col>
      <xdr:colOff>31750</xdr:colOff>
      <xdr:row>5</xdr:row>
      <xdr:rowOff>165100</xdr:rowOff>
    </xdr:from>
    <xdr:to>
      <xdr:col>9</xdr:col>
      <xdr:colOff>368300</xdr:colOff>
      <xdr:row>9</xdr:row>
      <xdr:rowOff>171450</xdr:rowOff>
    </xdr:to>
    <xdr:sp macro="" textlink="">
      <xdr:nvSpPr>
        <xdr:cNvPr id="4" name="Rectangle: Rounded Corners 3">
          <a:extLst>
            <a:ext uri="{FF2B5EF4-FFF2-40B4-BE49-F238E27FC236}">
              <a16:creationId xmlns:a16="http://schemas.microsoft.com/office/drawing/2014/main" id="{03093BCF-ABBE-534A-AA2F-1CBA741DBE23}"/>
            </a:ext>
          </a:extLst>
        </xdr:cNvPr>
        <xdr:cNvSpPr/>
      </xdr:nvSpPr>
      <xdr:spPr>
        <a:xfrm>
          <a:off x="4298950" y="1085850"/>
          <a:ext cx="155575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Average Rating:</a:t>
          </a:r>
        </a:p>
        <a:p>
          <a:pPr algn="ctr"/>
          <a:r>
            <a:rPr lang="en-US" sz="1100" b="0" i="0" u="none" strike="noStrike">
              <a:solidFill>
                <a:sysClr val="windowText" lastClr="000000"/>
              </a:solidFill>
              <a:effectLst/>
              <a:latin typeface="+mn-lt"/>
              <a:ea typeface="+mn-ea"/>
              <a:cs typeface="+mn-cs"/>
            </a:rPr>
            <a:t>2.7809524</a:t>
          </a:r>
          <a:r>
            <a:rPr lang="en-US">
              <a:effectLst/>
            </a:rPr>
            <a:t> </a:t>
          </a:r>
          <a:endParaRPr lang="en-US" sz="1100"/>
        </a:p>
      </xdr:txBody>
    </xdr:sp>
    <xdr:clientData/>
  </xdr:twoCellAnchor>
  <xdr:twoCellAnchor>
    <xdr:from>
      <xdr:col>10</xdr:col>
      <xdr:colOff>361950</xdr:colOff>
      <xdr:row>6</xdr:row>
      <xdr:rowOff>6350</xdr:rowOff>
    </xdr:from>
    <xdr:to>
      <xdr:col>13</xdr:col>
      <xdr:colOff>596900</xdr:colOff>
      <xdr:row>10</xdr:row>
      <xdr:rowOff>12700</xdr:rowOff>
    </xdr:to>
    <xdr:sp macro="" textlink="">
      <xdr:nvSpPr>
        <xdr:cNvPr id="5" name="Rectangle: Rounded Corners 4">
          <a:extLst>
            <a:ext uri="{FF2B5EF4-FFF2-40B4-BE49-F238E27FC236}">
              <a16:creationId xmlns:a16="http://schemas.microsoft.com/office/drawing/2014/main" id="{472EBA2E-91F5-8276-D197-89D8D86499CC}"/>
            </a:ext>
          </a:extLst>
        </xdr:cNvPr>
        <xdr:cNvSpPr/>
      </xdr:nvSpPr>
      <xdr:spPr>
        <a:xfrm>
          <a:off x="6457950" y="1111250"/>
          <a:ext cx="2063750"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Average Discount(%):</a:t>
          </a:r>
          <a:r>
            <a:rPr lang="en-US" sz="1100" baseline="0">
              <a:solidFill>
                <a:sysClr val="windowText" lastClr="000000"/>
              </a:solidFill>
            </a:rPr>
            <a:t> </a:t>
          </a:r>
        </a:p>
        <a:p>
          <a:pPr algn="ctr"/>
          <a:r>
            <a:rPr lang="en-US" sz="1100" baseline="0">
              <a:solidFill>
                <a:sysClr val="windowText" lastClr="000000"/>
              </a:solidFill>
            </a:rPr>
            <a:t>42%(High Discount)</a:t>
          </a:r>
          <a:endParaRPr lang="en-US" sz="1100">
            <a:solidFill>
              <a:sysClr val="windowText" lastClr="000000"/>
            </a:solidFill>
          </a:endParaRPr>
        </a:p>
      </xdr:txBody>
    </xdr:sp>
    <xdr:clientData/>
  </xdr:twoCellAnchor>
  <xdr:twoCellAnchor>
    <xdr:from>
      <xdr:col>14</xdr:col>
      <xdr:colOff>336550</xdr:colOff>
      <xdr:row>6</xdr:row>
      <xdr:rowOff>0</xdr:rowOff>
    </xdr:from>
    <xdr:to>
      <xdr:col>17</xdr:col>
      <xdr:colOff>114300</xdr:colOff>
      <xdr:row>10</xdr:row>
      <xdr:rowOff>0</xdr:rowOff>
    </xdr:to>
    <xdr:sp macro="" textlink="">
      <xdr:nvSpPr>
        <xdr:cNvPr id="6" name="Rectangle: Rounded Corners 5">
          <a:extLst>
            <a:ext uri="{FF2B5EF4-FFF2-40B4-BE49-F238E27FC236}">
              <a16:creationId xmlns:a16="http://schemas.microsoft.com/office/drawing/2014/main" id="{5FF1B50E-5268-9EB4-F8B0-D3F4D46267D1}"/>
            </a:ext>
          </a:extLst>
        </xdr:cNvPr>
        <xdr:cNvSpPr/>
      </xdr:nvSpPr>
      <xdr:spPr>
        <a:xfrm>
          <a:off x="8870950" y="1104900"/>
          <a:ext cx="1606550" cy="736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 No. of Reviews: </a:t>
          </a:r>
        </a:p>
        <a:p>
          <a:pPr algn="ctr"/>
          <a:r>
            <a:rPr lang="en-US" sz="1100">
              <a:solidFill>
                <a:sysClr val="windowText" lastClr="000000"/>
              </a:solidFill>
            </a:rPr>
            <a:t>723</a:t>
          </a:r>
        </a:p>
        <a:p>
          <a:pPr algn="l"/>
          <a:endParaRPr lang="en-US" sz="1100"/>
        </a:p>
      </xdr:txBody>
    </xdr:sp>
    <xdr:clientData/>
  </xdr:twoCellAnchor>
  <xdr:twoCellAnchor editAs="oneCell">
    <xdr:from>
      <xdr:col>0</xdr:col>
      <xdr:colOff>0</xdr:colOff>
      <xdr:row>6</xdr:row>
      <xdr:rowOff>6351</xdr:rowOff>
    </xdr:from>
    <xdr:to>
      <xdr:col>3</xdr:col>
      <xdr:colOff>0</xdr:colOff>
      <xdr:row>13</xdr:row>
      <xdr:rowOff>120651</xdr:rowOff>
    </xdr:to>
    <mc:AlternateContent xmlns:mc="http://schemas.openxmlformats.org/markup-compatibility/2006" xmlns:a14="http://schemas.microsoft.com/office/drawing/2010/main">
      <mc:Choice Requires="a14">
        <xdr:graphicFrame macro="">
          <xdr:nvGraphicFramePr>
            <xdr:cNvPr id="7" name="Rating Category 2">
              <a:extLst>
                <a:ext uri="{FF2B5EF4-FFF2-40B4-BE49-F238E27FC236}">
                  <a16:creationId xmlns:a16="http://schemas.microsoft.com/office/drawing/2014/main" id="{3F8374AB-6993-4A4E-94B0-3E69F5349216}"/>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0" y="1111251"/>
              <a:ext cx="1828800"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196850</xdr:colOff>
      <xdr:row>25</xdr:row>
      <xdr:rowOff>0</xdr:rowOff>
    </xdr:from>
    <xdr:to>
      <xdr:col>12</xdr:col>
      <xdr:colOff>438150</xdr:colOff>
      <xdr:row>39</xdr:row>
      <xdr:rowOff>101600</xdr:rowOff>
    </xdr:to>
    <xdr:graphicFrame macro="">
      <xdr:nvGraphicFramePr>
        <xdr:cNvPr id="11" name="Chart 10">
          <a:extLst>
            <a:ext uri="{FF2B5EF4-FFF2-40B4-BE49-F238E27FC236}">
              <a16:creationId xmlns:a16="http://schemas.microsoft.com/office/drawing/2014/main" id="{53EC623B-9F98-4AC9-B293-6783EF82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10</xdr:row>
      <xdr:rowOff>177800</xdr:rowOff>
    </xdr:from>
    <xdr:to>
      <xdr:col>8</xdr:col>
      <xdr:colOff>0</xdr:colOff>
      <xdr:row>24</xdr:row>
      <xdr:rowOff>82550</xdr:rowOff>
    </xdr:to>
    <xdr:graphicFrame macro="">
      <xdr:nvGraphicFramePr>
        <xdr:cNvPr id="12" name="Chart 11">
          <a:extLst>
            <a:ext uri="{FF2B5EF4-FFF2-40B4-BE49-F238E27FC236}">
              <a16:creationId xmlns:a16="http://schemas.microsoft.com/office/drawing/2014/main" id="{DE4F9EB8-F4E9-476F-B384-CAFBEE202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11</xdr:row>
      <xdr:rowOff>0</xdr:rowOff>
    </xdr:from>
    <xdr:to>
      <xdr:col>12</xdr:col>
      <xdr:colOff>482600</xdr:colOff>
      <xdr:row>24</xdr:row>
      <xdr:rowOff>82550</xdr:rowOff>
    </xdr:to>
    <xdr:graphicFrame macro="">
      <xdr:nvGraphicFramePr>
        <xdr:cNvPr id="13" name="Chart 12">
          <a:extLst>
            <a:ext uri="{FF2B5EF4-FFF2-40B4-BE49-F238E27FC236}">
              <a16:creationId xmlns:a16="http://schemas.microsoft.com/office/drawing/2014/main" id="{FEDD6EA3-FA3C-4136-88A3-3B5A85CA9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482600</xdr:colOff>
      <xdr:row>11</xdr:row>
      <xdr:rowOff>0</xdr:rowOff>
    </xdr:from>
    <xdr:to>
      <xdr:col>17</xdr:col>
      <xdr:colOff>584200</xdr:colOff>
      <xdr:row>24</xdr:row>
      <xdr:rowOff>88900</xdr:rowOff>
    </xdr:to>
    <xdr:graphicFrame macro="">
      <xdr:nvGraphicFramePr>
        <xdr:cNvPr id="14" name="Chart 13">
          <a:extLst>
            <a:ext uri="{FF2B5EF4-FFF2-40B4-BE49-F238E27FC236}">
              <a16:creationId xmlns:a16="http://schemas.microsoft.com/office/drawing/2014/main" id="{67571F82-7956-4ADC-A617-8C2C0AB1A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127000</xdr:rowOff>
    </xdr:from>
    <xdr:to>
      <xdr:col>3</xdr:col>
      <xdr:colOff>0</xdr:colOff>
      <xdr:row>21</xdr:row>
      <xdr:rowOff>126999</xdr:rowOff>
    </xdr:to>
    <mc:AlternateContent xmlns:mc="http://schemas.openxmlformats.org/markup-compatibility/2006" xmlns:a14="http://schemas.microsoft.com/office/drawing/2010/main">
      <mc:Choice Requires="a14">
        <xdr:graphicFrame macro="">
          <xdr:nvGraphicFramePr>
            <xdr:cNvPr id="15" name="Discount Category 1">
              <a:extLst>
                <a:ext uri="{FF2B5EF4-FFF2-40B4-BE49-F238E27FC236}">
                  <a16:creationId xmlns:a16="http://schemas.microsoft.com/office/drawing/2014/main" id="{80554011-D77B-4A02-8612-5D77762AC24D}"/>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252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24</xdr:row>
      <xdr:rowOff>82550</xdr:rowOff>
    </xdr:from>
    <xdr:to>
      <xdr:col>7</xdr:col>
      <xdr:colOff>596900</xdr:colOff>
      <xdr:row>37</xdr:row>
      <xdr:rowOff>165100</xdr:rowOff>
    </xdr:to>
    <xdr:graphicFrame macro="">
      <xdr:nvGraphicFramePr>
        <xdr:cNvPr id="26" name="Chart 25">
          <a:extLst>
            <a:ext uri="{FF2B5EF4-FFF2-40B4-BE49-F238E27FC236}">
              <a16:creationId xmlns:a16="http://schemas.microsoft.com/office/drawing/2014/main" id="{4BDBE579-6E3A-4CA7-BBC2-79AAC5C6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387350</xdr:colOff>
      <xdr:row>39</xdr:row>
      <xdr:rowOff>95250</xdr:rowOff>
    </xdr:from>
    <xdr:to>
      <xdr:col>10</xdr:col>
      <xdr:colOff>0</xdr:colOff>
      <xdr:row>53</xdr:row>
      <xdr:rowOff>76200</xdr:rowOff>
    </xdr:to>
    <xdr:graphicFrame macro="">
      <xdr:nvGraphicFramePr>
        <xdr:cNvPr id="27" name="Chart 26">
          <a:extLst>
            <a:ext uri="{FF2B5EF4-FFF2-40B4-BE49-F238E27FC236}">
              <a16:creationId xmlns:a16="http://schemas.microsoft.com/office/drawing/2014/main" id="{1EBC41E4-B4D5-4D99-A031-C084BE1B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12700</xdr:colOff>
      <xdr:row>24</xdr:row>
      <xdr:rowOff>101600</xdr:rowOff>
    </xdr:from>
    <xdr:to>
      <xdr:col>20</xdr:col>
      <xdr:colOff>241300</xdr:colOff>
      <xdr:row>37</xdr:row>
      <xdr:rowOff>19050</xdr:rowOff>
    </xdr:to>
    <xdr:graphicFrame macro="">
      <xdr:nvGraphicFramePr>
        <xdr:cNvPr id="28" name="Chart 27">
          <a:extLst>
            <a:ext uri="{FF2B5EF4-FFF2-40B4-BE49-F238E27FC236}">
              <a16:creationId xmlns:a16="http://schemas.microsoft.com/office/drawing/2014/main" id="{0327A29C-D8FF-4740-82B5-1F3C6322A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6350</xdr:colOff>
      <xdr:row>39</xdr:row>
      <xdr:rowOff>114300</xdr:rowOff>
    </xdr:from>
    <xdr:to>
      <xdr:col>18</xdr:col>
      <xdr:colOff>203200</xdr:colOff>
      <xdr:row>53</xdr:row>
      <xdr:rowOff>88900</xdr:rowOff>
    </xdr:to>
    <xdr:graphicFrame macro="">
      <xdr:nvGraphicFramePr>
        <xdr:cNvPr id="29" name="Chart 28">
          <a:extLst>
            <a:ext uri="{FF2B5EF4-FFF2-40B4-BE49-F238E27FC236}">
              <a16:creationId xmlns:a16="http://schemas.microsoft.com/office/drawing/2014/main" id="{C92C57EC-D74A-4FD5-86FF-C83918BDA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9.677469328701" createdVersion="8" refreshedVersion="8" minRefreshableVersion="3" recordCount="115" xr:uid="{C8E98A87-04C9-4E47-852C-5AC57C31E187}">
  <cacheSource type="worksheet">
    <worksheetSource ref="A1:J116" sheet="Excel_jumia"/>
  </cacheSource>
  <cacheFields count="10">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SemiMixedTypes="0" containsString="0" containsNumber="1" minValue="38" maxValue="3750"/>
    </cacheField>
    <cacheField name="old price" numFmtId="0">
      <sharedItems containsString="0" containsBlank="1" containsNumber="1" minValue="80" maxValue="6143"/>
    </cacheField>
    <cacheField name="Discount Amt." numFmtId="0">
      <sharedItems containsString="0" containsBlank="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m/>
      </sharedItems>
      <fieldGroup base="3">
        <rangePr startNum="24" endNum="2585" groupInterval="200"/>
        <groupItems count="15">
          <s v="(blank)"/>
          <s v="24-223"/>
          <s v="224-423"/>
          <s v="424-623"/>
          <s v="624-823"/>
          <s v="824-1023"/>
          <s v="1024-1223"/>
          <s v="1224-1423"/>
          <s v="1424-1623"/>
          <s v="1624-1823"/>
          <s v="1824-2023"/>
          <s v="2024-2223"/>
          <s v="2224-2423"/>
          <s v="2424-2623"/>
          <s v="&gt;2624"/>
        </groupItems>
      </fieldGroup>
    </cacheField>
    <cacheField name="Discount" numFmtId="0">
      <sharedItems containsString="0" containsBlank="1" containsNumber="1" minValue="0.01" maxValue="0.64" count="48">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776785714285715"/>
        <m/>
      </sharedItems>
      <fieldGroup base="4">
        <rangePr startNum="0.01" endNum="0.64" groupInterval="0.1"/>
        <groupItems count="9">
          <s v="(blank)"/>
          <s v="0.01-0.11"/>
          <s v="0.11-0.21"/>
          <s v="0.21-0.31"/>
          <s v="0.31-0.41"/>
          <s v="0.41-0.51"/>
          <s v="0.51-0.61"/>
          <s v="0.61-0.71"/>
          <s v="&gt;0.71"/>
        </groupItems>
      </fieldGroup>
    </cacheField>
    <cacheField name="Discount Category" numFmtId="0">
      <sharedItems containsBlank="1" count="4">
        <s v="Medium Discount"/>
        <s v="High Discount"/>
        <s v="Low Discount"/>
        <m/>
      </sharedItems>
    </cacheField>
    <cacheField name="Pos. Reviews" numFmtId="0">
      <sharedItems containsString="0" containsBlank="1" containsNumber="1" containsInteger="1" minValue="0" maxValue="69" count="25">
        <n v="2"/>
        <n v="14"/>
        <n v="24"/>
        <n v="7"/>
        <n v="5"/>
        <n v="15"/>
        <n v="55"/>
        <n v="12"/>
        <n v="39"/>
        <n v="6"/>
        <n v="9"/>
        <n v="3"/>
        <n v="44"/>
        <n v="13"/>
        <n v="0"/>
        <n v="49"/>
        <n v="20"/>
        <n v="32"/>
        <n v="1"/>
        <n v="36"/>
        <n v="10"/>
        <n v="69"/>
        <n v="16"/>
        <n v="17"/>
        <m/>
      </sharedItems>
      <fieldGroup base="6">
        <rangePr startNum="0" endNum="69" groupInterval="10"/>
        <groupItems count="9">
          <s v="(blank)"/>
          <s v="0-9"/>
          <s v="10-19"/>
          <s v="20-29"/>
          <s v="30-39"/>
          <s v="40-49"/>
          <s v="50-59"/>
          <s v="60-69"/>
          <s v="&gt;70"/>
        </groupItems>
      </fieldGroup>
    </cacheField>
    <cacheField name="Review" numFmtId="0">
      <sharedItems containsString="0" containsBlank="1" containsNumber="1" containsInteger="1" minValue="-69" maxValue="0"/>
    </cacheField>
    <cacheField name="Rating" numFmtId="0">
      <sharedItems containsBlank="1" containsMixedTypes="1" containsNumber="1" minValue="2" maxValue="5" count="25">
        <n v="4.5"/>
        <n v="4.0999999999999996"/>
        <n v="4.5999999999999996"/>
        <n v="4.7"/>
        <n v="4.8"/>
        <n v="4"/>
        <n v="3.8"/>
        <n v="4.2"/>
        <n v="5"/>
        <n v="3.3"/>
        <s v="Not Provided"/>
        <n v="4.4000000000000004"/>
        <n v="4.3"/>
        <n v="2.5"/>
        <n v="3"/>
        <n v="2.1"/>
        <n v="2.8"/>
        <n v="2.7"/>
        <n v="2.9"/>
        <n v="2.2000000000000002"/>
        <n v="2.2999999999999998"/>
        <n v="2.6"/>
        <n v="2"/>
        <n v="3.8894736842105258"/>
        <m/>
      </sharedItems>
    </cacheField>
    <cacheField name="Rating Category" numFmtId="0">
      <sharedItems containsBlank="1" count="5">
        <s v="Excellent"/>
        <s v="Average"/>
        <s v="N/A"/>
        <s v="Poor"/>
        <m/>
      </sharedItems>
    </cacheField>
  </cacheFields>
  <extLst>
    <ext xmlns:x14="http://schemas.microsoft.com/office/spreadsheetml/2009/9/main" uri="{725AE2AE-9491-48be-B2B4-4EB974FC3084}">
      <x14:pivotCacheDefinition pivotCacheId="2076967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x v="0"/>
    <x v="0"/>
    <x v="0"/>
    <n v="-2"/>
    <x v="0"/>
    <x v="0"/>
  </r>
  <r>
    <x v="1"/>
    <n v="527"/>
    <n v="999"/>
    <x v="1"/>
    <x v="1"/>
    <x v="1"/>
    <x v="1"/>
    <n v="-14"/>
    <x v="1"/>
    <x v="1"/>
  </r>
  <r>
    <x v="2"/>
    <n v="2199"/>
    <n v="2923"/>
    <x v="2"/>
    <x v="2"/>
    <x v="0"/>
    <x v="2"/>
    <n v="-24"/>
    <x v="2"/>
    <x v="0"/>
  </r>
  <r>
    <x v="3"/>
    <n v="1580"/>
    <n v="2499"/>
    <x v="3"/>
    <x v="3"/>
    <x v="0"/>
    <x v="3"/>
    <n v="-7"/>
    <x v="3"/>
    <x v="0"/>
  </r>
  <r>
    <x v="4"/>
    <n v="1740"/>
    <n v="2356"/>
    <x v="4"/>
    <x v="4"/>
    <x v="0"/>
    <x v="4"/>
    <n v="-5"/>
    <x v="4"/>
    <x v="0"/>
  </r>
  <r>
    <x v="5"/>
    <n v="2999"/>
    <n v="3290"/>
    <x v="5"/>
    <x v="5"/>
    <x v="2"/>
    <x v="5"/>
    <n v="-15"/>
    <x v="5"/>
    <x v="1"/>
  </r>
  <r>
    <x v="6"/>
    <n v="2319"/>
    <n v="3032"/>
    <x v="6"/>
    <x v="6"/>
    <x v="0"/>
    <x v="6"/>
    <n v="-55"/>
    <x v="2"/>
    <x v="0"/>
  </r>
  <r>
    <x v="7"/>
    <n v="988"/>
    <n v="1580"/>
    <x v="7"/>
    <x v="3"/>
    <x v="0"/>
    <x v="0"/>
    <n v="-2"/>
    <x v="5"/>
    <x v="1"/>
  </r>
  <r>
    <x v="8"/>
    <n v="1274"/>
    <n v="2800"/>
    <x v="8"/>
    <x v="7"/>
    <x v="1"/>
    <x v="4"/>
    <n v="-5"/>
    <x v="4"/>
    <x v="0"/>
  </r>
  <r>
    <x v="9"/>
    <n v="1600"/>
    <n v="2929"/>
    <x v="9"/>
    <x v="8"/>
    <x v="1"/>
    <x v="4"/>
    <n v="-5"/>
    <x v="6"/>
    <x v="1"/>
  </r>
  <r>
    <x v="10"/>
    <n v="799"/>
    <n v="999"/>
    <x v="10"/>
    <x v="9"/>
    <x v="0"/>
    <x v="7"/>
    <n v="-12"/>
    <x v="1"/>
    <x v="1"/>
  </r>
  <r>
    <x v="11"/>
    <n v="990"/>
    <n v="1500"/>
    <x v="11"/>
    <x v="10"/>
    <x v="0"/>
    <x v="8"/>
    <n v="-39"/>
    <x v="3"/>
    <x v="0"/>
  </r>
  <r>
    <x v="12"/>
    <n v="552"/>
    <n v="1035"/>
    <x v="12"/>
    <x v="1"/>
    <x v="1"/>
    <x v="7"/>
    <n v="-12"/>
    <x v="4"/>
    <x v="0"/>
  </r>
  <r>
    <x v="13"/>
    <n v="501"/>
    <n v="860"/>
    <x v="13"/>
    <x v="11"/>
    <x v="1"/>
    <x v="9"/>
    <n v="-6"/>
    <x v="0"/>
    <x v="0"/>
  </r>
  <r>
    <x v="14"/>
    <n v="1680"/>
    <n v="2499"/>
    <x v="14"/>
    <x v="12"/>
    <x v="0"/>
    <x v="10"/>
    <n v="-9"/>
    <x v="7"/>
    <x v="1"/>
  </r>
  <r>
    <x v="15"/>
    <n v="332"/>
    <n v="684"/>
    <x v="15"/>
    <x v="13"/>
    <x v="1"/>
    <x v="0"/>
    <n v="-2"/>
    <x v="8"/>
    <x v="0"/>
  </r>
  <r>
    <x v="16"/>
    <n v="195"/>
    <n v="360"/>
    <x v="16"/>
    <x v="14"/>
    <x v="1"/>
    <x v="0"/>
    <n v="-2"/>
    <x v="8"/>
    <x v="0"/>
  </r>
  <r>
    <x v="17"/>
    <n v="2025"/>
    <n v="3971"/>
    <x v="17"/>
    <x v="15"/>
    <x v="1"/>
    <x v="11"/>
    <n v="-3"/>
    <x v="8"/>
    <x v="0"/>
  </r>
  <r>
    <x v="18"/>
    <n v="2999"/>
    <n v="3699"/>
    <x v="18"/>
    <x v="16"/>
    <x v="2"/>
    <x v="4"/>
    <n v="-5"/>
    <x v="2"/>
    <x v="0"/>
  </r>
  <r>
    <x v="19"/>
    <n v="998"/>
    <n v="1966"/>
    <x v="19"/>
    <x v="15"/>
    <x v="1"/>
    <x v="12"/>
    <n v="-44"/>
    <x v="2"/>
    <x v="0"/>
  </r>
  <r>
    <x v="20"/>
    <n v="38"/>
    <n v="80"/>
    <x v="20"/>
    <x v="17"/>
    <x v="1"/>
    <x v="13"/>
    <n v="-13"/>
    <x v="9"/>
    <x v="1"/>
  </r>
  <r>
    <x v="21"/>
    <n v="1860"/>
    <n v="3220"/>
    <x v="21"/>
    <x v="11"/>
    <x v="1"/>
    <x v="14"/>
    <n v="0"/>
    <x v="10"/>
    <x v="2"/>
  </r>
  <r>
    <x v="22"/>
    <n v="880"/>
    <n v="1350"/>
    <x v="22"/>
    <x v="18"/>
    <x v="0"/>
    <x v="9"/>
    <n v="-6"/>
    <x v="5"/>
    <x v="1"/>
  </r>
  <r>
    <x v="23"/>
    <n v="1650"/>
    <n v="2150"/>
    <x v="23"/>
    <x v="19"/>
    <x v="0"/>
    <x v="1"/>
    <n v="-14"/>
    <x v="11"/>
    <x v="1"/>
  </r>
  <r>
    <x v="24"/>
    <n v="2048"/>
    <n v="4500"/>
    <x v="24"/>
    <x v="20"/>
    <x v="1"/>
    <x v="3"/>
    <n v="-7"/>
    <x v="12"/>
    <x v="1"/>
  </r>
  <r>
    <x v="25"/>
    <n v="420"/>
    <n v="647"/>
    <x v="25"/>
    <x v="18"/>
    <x v="0"/>
    <x v="15"/>
    <n v="-49"/>
    <x v="2"/>
    <x v="0"/>
  </r>
  <r>
    <x v="26"/>
    <n v="2880"/>
    <n v="3520"/>
    <x v="26"/>
    <x v="21"/>
    <x v="2"/>
    <x v="7"/>
    <n v="-12"/>
    <x v="6"/>
    <x v="1"/>
  </r>
  <r>
    <x v="27"/>
    <n v="1350"/>
    <n v="1990"/>
    <x v="26"/>
    <x v="22"/>
    <x v="0"/>
    <x v="13"/>
    <n v="-13"/>
    <x v="6"/>
    <x v="1"/>
  </r>
  <r>
    <x v="28"/>
    <n v="1758"/>
    <n v="2499"/>
    <x v="27"/>
    <x v="23"/>
    <x v="0"/>
    <x v="16"/>
    <n v="-20"/>
    <x v="1"/>
    <x v="1"/>
  </r>
  <r>
    <x v="29"/>
    <n v="2200"/>
    <n v="4080"/>
    <x v="28"/>
    <x v="14"/>
    <x v="1"/>
    <x v="14"/>
    <n v="0"/>
    <x v="10"/>
    <x v="2"/>
  </r>
  <r>
    <x v="30"/>
    <n v="185"/>
    <n v="382"/>
    <x v="29"/>
    <x v="24"/>
    <x v="1"/>
    <x v="10"/>
    <n v="-9"/>
    <x v="12"/>
    <x v="1"/>
  </r>
  <r>
    <x v="31"/>
    <n v="980"/>
    <n v="1490"/>
    <x v="11"/>
    <x v="10"/>
    <x v="0"/>
    <x v="7"/>
    <n v="-12"/>
    <x v="3"/>
    <x v="0"/>
  </r>
  <r>
    <x v="32"/>
    <n v="1820"/>
    <n v="3490"/>
    <x v="30"/>
    <x v="25"/>
    <x v="1"/>
    <x v="10"/>
    <n v="-9"/>
    <x v="12"/>
    <x v="1"/>
  </r>
  <r>
    <x v="33"/>
    <n v="1940"/>
    <n v="2650"/>
    <x v="31"/>
    <x v="26"/>
    <x v="0"/>
    <x v="16"/>
    <n v="-20"/>
    <x v="3"/>
    <x v="0"/>
  </r>
  <r>
    <x v="34"/>
    <n v="1980"/>
    <n v="2699"/>
    <x v="32"/>
    <x v="26"/>
    <x v="0"/>
    <x v="17"/>
    <n v="-32"/>
    <x v="0"/>
    <x v="0"/>
  </r>
  <r>
    <x v="35"/>
    <n v="1620"/>
    <n v="2690"/>
    <x v="33"/>
    <x v="27"/>
    <x v="0"/>
    <x v="18"/>
    <n v="-1"/>
    <x v="8"/>
    <x v="0"/>
  </r>
  <r>
    <x v="36"/>
    <n v="171"/>
    <n v="360"/>
    <x v="34"/>
    <x v="17"/>
    <x v="1"/>
    <x v="0"/>
    <n v="-2"/>
    <x v="8"/>
    <x v="0"/>
  </r>
  <r>
    <x v="37"/>
    <n v="389"/>
    <n v="656"/>
    <x v="35"/>
    <x v="28"/>
    <x v="1"/>
    <x v="19"/>
    <n v="-36"/>
    <x v="12"/>
    <x v="1"/>
  </r>
  <r>
    <x v="38"/>
    <n v="1800"/>
    <n v="2700"/>
    <x v="36"/>
    <x v="0"/>
    <x v="0"/>
    <x v="0"/>
    <n v="-2"/>
    <x v="0"/>
    <x v="0"/>
  </r>
  <r>
    <x v="39"/>
    <n v="2750"/>
    <n v="4471"/>
    <x v="37"/>
    <x v="0"/>
    <x v="0"/>
    <x v="14"/>
    <n v="0"/>
    <x v="10"/>
    <x v="2"/>
  </r>
  <r>
    <x v="40"/>
    <n v="475"/>
    <n v="931"/>
    <x v="38"/>
    <x v="15"/>
    <x v="1"/>
    <x v="14"/>
    <n v="0"/>
    <x v="10"/>
    <x v="2"/>
  </r>
  <r>
    <x v="41"/>
    <n v="238"/>
    <n v="476"/>
    <x v="39"/>
    <x v="29"/>
    <x v="1"/>
    <x v="14"/>
    <n v="0"/>
    <x v="10"/>
    <x v="2"/>
  </r>
  <r>
    <x v="42"/>
    <n v="610"/>
    <n v="1060"/>
    <x v="40"/>
    <x v="11"/>
    <x v="1"/>
    <x v="14"/>
    <n v="0"/>
    <x v="10"/>
    <x v="2"/>
  </r>
  <r>
    <x v="43"/>
    <n v="2132"/>
    <n v="2169"/>
    <x v="41"/>
    <x v="30"/>
    <x v="2"/>
    <x v="14"/>
    <n v="0"/>
    <x v="10"/>
    <x v="2"/>
  </r>
  <r>
    <x v="44"/>
    <n v="999"/>
    <n v="2000"/>
    <x v="42"/>
    <x v="29"/>
    <x v="1"/>
    <x v="14"/>
    <n v="0"/>
    <x v="10"/>
    <x v="2"/>
  </r>
  <r>
    <x v="45"/>
    <n v="1190"/>
    <n v="1785"/>
    <x v="43"/>
    <x v="12"/>
    <x v="0"/>
    <x v="14"/>
    <n v="0"/>
    <x v="10"/>
    <x v="2"/>
  </r>
  <r>
    <x v="46"/>
    <n v="671"/>
    <n v="1316"/>
    <x v="44"/>
    <x v="15"/>
    <x v="1"/>
    <x v="14"/>
    <n v="0"/>
    <x v="10"/>
    <x v="2"/>
  </r>
  <r>
    <x v="47"/>
    <n v="1200"/>
    <n v="1950"/>
    <x v="45"/>
    <x v="0"/>
    <x v="0"/>
    <x v="14"/>
    <n v="0"/>
    <x v="10"/>
    <x v="2"/>
  </r>
  <r>
    <x v="48"/>
    <n v="199"/>
    <n v="504"/>
    <x v="46"/>
    <x v="31"/>
    <x v="1"/>
    <x v="14"/>
    <n v="0"/>
    <x v="10"/>
    <x v="2"/>
  </r>
  <r>
    <x v="49"/>
    <n v="299"/>
    <n v="600"/>
    <x v="47"/>
    <x v="29"/>
    <x v="1"/>
    <x v="14"/>
    <n v="0"/>
    <x v="10"/>
    <x v="2"/>
  </r>
  <r>
    <x v="50"/>
    <n v="1660"/>
    <n v="1699"/>
    <x v="48"/>
    <x v="30"/>
    <x v="2"/>
    <x v="14"/>
    <n v="0"/>
    <x v="10"/>
    <x v="2"/>
  </r>
  <r>
    <x v="51"/>
    <n v="299"/>
    <n v="384"/>
    <x v="49"/>
    <x v="32"/>
    <x v="0"/>
    <x v="14"/>
    <n v="0"/>
    <x v="10"/>
    <x v="2"/>
  </r>
  <r>
    <x v="52"/>
    <n v="1459"/>
    <n v="1499"/>
    <x v="50"/>
    <x v="33"/>
    <x v="2"/>
    <x v="14"/>
    <n v="0"/>
    <x v="10"/>
    <x v="2"/>
  </r>
  <r>
    <x v="53"/>
    <n v="799"/>
    <n v="1343"/>
    <x v="51"/>
    <x v="28"/>
    <x v="1"/>
    <x v="14"/>
    <n v="0"/>
    <x v="10"/>
    <x v="2"/>
  </r>
  <r>
    <x v="54"/>
    <n v="499"/>
    <n v="900"/>
    <x v="52"/>
    <x v="8"/>
    <x v="1"/>
    <x v="14"/>
    <n v="0"/>
    <x v="10"/>
    <x v="2"/>
  </r>
  <r>
    <x v="55"/>
    <n v="699"/>
    <n v="1343"/>
    <x v="53"/>
    <x v="25"/>
    <x v="1"/>
    <x v="14"/>
    <n v="0"/>
    <x v="10"/>
    <x v="2"/>
  </r>
  <r>
    <x v="56"/>
    <n v="799"/>
    <n v="1567"/>
    <x v="54"/>
    <x v="15"/>
    <x v="1"/>
    <x v="14"/>
    <n v="0"/>
    <x v="10"/>
    <x v="2"/>
  </r>
  <r>
    <x v="57"/>
    <n v="2799"/>
    <n v="3810"/>
    <x v="55"/>
    <x v="26"/>
    <x v="0"/>
    <x v="14"/>
    <n v="0"/>
    <x v="10"/>
    <x v="2"/>
  </r>
  <r>
    <x v="54"/>
    <n v="399"/>
    <n v="896"/>
    <x v="56"/>
    <x v="7"/>
    <x v="1"/>
    <x v="14"/>
    <n v="0"/>
    <x v="10"/>
    <x v="2"/>
  </r>
  <r>
    <x v="58"/>
    <n v="2170"/>
    <n v="2500"/>
    <x v="57"/>
    <x v="34"/>
    <x v="2"/>
    <x v="9"/>
    <n v="-6"/>
    <x v="13"/>
    <x v="3"/>
  </r>
  <r>
    <x v="59"/>
    <n v="458"/>
    <n v="986"/>
    <x v="58"/>
    <x v="20"/>
    <x v="1"/>
    <x v="20"/>
    <n v="-10"/>
    <x v="14"/>
    <x v="1"/>
  </r>
  <r>
    <x v="60"/>
    <n v="2115"/>
    <n v="4700"/>
    <x v="59"/>
    <x v="7"/>
    <x v="1"/>
    <x v="13"/>
    <n v="-13"/>
    <x v="15"/>
    <x v="3"/>
  </r>
  <r>
    <x v="61"/>
    <n v="445"/>
    <n v="873"/>
    <x v="60"/>
    <x v="15"/>
    <x v="1"/>
    <x v="21"/>
    <n v="-69"/>
    <x v="16"/>
    <x v="3"/>
  </r>
  <r>
    <x v="62"/>
    <n v="325"/>
    <n v="680"/>
    <x v="61"/>
    <x v="24"/>
    <x v="1"/>
    <x v="5"/>
    <n v="-15"/>
    <x v="17"/>
    <x v="3"/>
  </r>
  <r>
    <x v="63"/>
    <n v="1220"/>
    <n v="1555"/>
    <x v="62"/>
    <x v="32"/>
    <x v="0"/>
    <x v="22"/>
    <n v="-16"/>
    <x v="18"/>
    <x v="3"/>
  </r>
  <r>
    <x v="64"/>
    <n v="990"/>
    <n v="1814"/>
    <x v="63"/>
    <x v="8"/>
    <x v="1"/>
    <x v="9"/>
    <n v="-6"/>
    <x v="19"/>
    <x v="3"/>
  </r>
  <r>
    <x v="65"/>
    <n v="1000"/>
    <n v="2000"/>
    <x v="64"/>
    <x v="29"/>
    <x v="1"/>
    <x v="3"/>
    <n v="-7"/>
    <x v="20"/>
    <x v="3"/>
  </r>
  <r>
    <x v="66"/>
    <n v="3750"/>
    <n v="6143"/>
    <x v="65"/>
    <x v="35"/>
    <x v="0"/>
    <x v="4"/>
    <n v="-5"/>
    <x v="14"/>
    <x v="1"/>
  </r>
  <r>
    <x v="67"/>
    <n v="382"/>
    <n v="700"/>
    <x v="66"/>
    <x v="8"/>
    <x v="1"/>
    <x v="23"/>
    <n v="-17"/>
    <x v="21"/>
    <x v="3"/>
  </r>
  <r>
    <x v="68"/>
    <n v="2300"/>
    <n v="3240"/>
    <x v="67"/>
    <x v="36"/>
    <x v="0"/>
    <x v="4"/>
    <n v="-5"/>
    <x v="14"/>
    <x v="1"/>
  </r>
  <r>
    <x v="69"/>
    <n v="345"/>
    <n v="602"/>
    <x v="68"/>
    <x v="37"/>
    <x v="1"/>
    <x v="9"/>
    <n v="-6"/>
    <x v="20"/>
    <x v="3"/>
  </r>
  <r>
    <x v="70"/>
    <n v="509"/>
    <n v="899"/>
    <x v="69"/>
    <x v="37"/>
    <x v="1"/>
    <x v="4"/>
    <n v="-5"/>
    <x v="14"/>
    <x v="1"/>
  </r>
  <r>
    <x v="71"/>
    <n v="968"/>
    <n v="1814"/>
    <x v="70"/>
    <x v="1"/>
    <x v="1"/>
    <x v="9"/>
    <n v="-6"/>
    <x v="19"/>
    <x v="3"/>
  </r>
  <r>
    <x v="72"/>
    <n v="1570"/>
    <n v="2988"/>
    <x v="71"/>
    <x v="1"/>
    <x v="1"/>
    <x v="3"/>
    <n v="-7"/>
    <x v="15"/>
    <x v="3"/>
  </r>
  <r>
    <x v="73"/>
    <n v="790"/>
    <n v="1485"/>
    <x v="72"/>
    <x v="1"/>
    <x v="1"/>
    <x v="14"/>
    <n v="0"/>
    <x v="10"/>
    <x v="2"/>
  </r>
  <r>
    <x v="74"/>
    <n v="690"/>
    <n v="1200"/>
    <x v="11"/>
    <x v="37"/>
    <x v="1"/>
    <x v="14"/>
    <n v="0"/>
    <x v="10"/>
    <x v="2"/>
  </r>
  <r>
    <x v="75"/>
    <n v="1732"/>
    <n v="1799"/>
    <x v="73"/>
    <x v="38"/>
    <x v="2"/>
    <x v="14"/>
    <n v="0"/>
    <x v="10"/>
    <x v="2"/>
  </r>
  <r>
    <x v="76"/>
    <n v="230"/>
    <n v="450"/>
    <x v="74"/>
    <x v="15"/>
    <x v="1"/>
    <x v="14"/>
    <n v="0"/>
    <x v="10"/>
    <x v="2"/>
  </r>
  <r>
    <x v="77"/>
    <n v="1189"/>
    <n v="2199"/>
    <x v="75"/>
    <x v="14"/>
    <x v="1"/>
    <x v="18"/>
    <n v="-1"/>
    <x v="14"/>
    <x v="1"/>
  </r>
  <r>
    <x v="78"/>
    <n v="979"/>
    <n v="1920"/>
    <x v="76"/>
    <x v="15"/>
    <x v="1"/>
    <x v="18"/>
    <n v="-1"/>
    <x v="8"/>
    <x v="0"/>
  </r>
  <r>
    <x v="79"/>
    <n v="1460"/>
    <n v="2290"/>
    <x v="77"/>
    <x v="39"/>
    <x v="0"/>
    <x v="14"/>
    <n v="0"/>
    <x v="10"/>
    <x v="2"/>
  </r>
  <r>
    <x v="80"/>
    <n v="1666"/>
    <n v="1699"/>
    <x v="78"/>
    <x v="30"/>
    <x v="2"/>
    <x v="14"/>
    <n v="0"/>
    <x v="10"/>
    <x v="2"/>
  </r>
  <r>
    <x v="81"/>
    <n v="330"/>
    <n v="647"/>
    <x v="79"/>
    <x v="15"/>
    <x v="1"/>
    <x v="18"/>
    <n v="-1"/>
    <x v="5"/>
    <x v="1"/>
  </r>
  <r>
    <x v="48"/>
    <n v="176"/>
    <n v="345"/>
    <x v="80"/>
    <x v="15"/>
    <x v="1"/>
    <x v="14"/>
    <n v="0"/>
    <x v="10"/>
    <x v="2"/>
  </r>
  <r>
    <x v="82"/>
    <n v="1466"/>
    <n v="1699"/>
    <x v="81"/>
    <x v="40"/>
    <x v="2"/>
    <x v="14"/>
    <n v="0"/>
    <x v="10"/>
    <x v="2"/>
  </r>
  <r>
    <x v="83"/>
    <n v="274"/>
    <n v="537"/>
    <x v="82"/>
    <x v="15"/>
    <x v="1"/>
    <x v="14"/>
    <n v="0"/>
    <x v="10"/>
    <x v="2"/>
  </r>
  <r>
    <x v="84"/>
    <n v="799"/>
    <n v="900"/>
    <x v="83"/>
    <x v="41"/>
    <x v="2"/>
    <x v="14"/>
    <n v="0"/>
    <x v="10"/>
    <x v="2"/>
  </r>
  <r>
    <x v="56"/>
    <n v="657"/>
    <n v="1288"/>
    <x v="84"/>
    <x v="15"/>
    <x v="1"/>
    <x v="14"/>
    <n v="0"/>
    <x v="10"/>
    <x v="2"/>
  </r>
  <r>
    <x v="85"/>
    <n v="1468"/>
    <n v="1699"/>
    <x v="85"/>
    <x v="40"/>
    <x v="2"/>
    <x v="14"/>
    <n v="0"/>
    <x v="10"/>
    <x v="2"/>
  </r>
  <r>
    <x v="86"/>
    <n v="630"/>
    <n v="1100"/>
    <x v="22"/>
    <x v="37"/>
    <x v="1"/>
    <x v="14"/>
    <n v="0"/>
    <x v="10"/>
    <x v="2"/>
  </r>
  <r>
    <x v="87"/>
    <n v="850"/>
    <n v="1700"/>
    <x v="86"/>
    <x v="29"/>
    <x v="1"/>
    <x v="14"/>
    <n v="0"/>
    <x v="10"/>
    <x v="2"/>
  </r>
  <r>
    <x v="88"/>
    <n v="1300"/>
    <n v="2500"/>
    <x v="87"/>
    <x v="25"/>
    <x v="1"/>
    <x v="14"/>
    <n v="0"/>
    <x v="10"/>
    <x v="2"/>
  </r>
  <r>
    <x v="89"/>
    <n v="105"/>
    <n v="200"/>
    <x v="88"/>
    <x v="25"/>
    <x v="1"/>
    <x v="14"/>
    <n v="0"/>
    <x v="10"/>
    <x v="2"/>
  </r>
  <r>
    <x v="90"/>
    <n v="899"/>
    <n v="1699"/>
    <x v="89"/>
    <x v="1"/>
    <x v="1"/>
    <x v="14"/>
    <n v="0"/>
    <x v="10"/>
    <x v="2"/>
  </r>
  <r>
    <x v="91"/>
    <n v="1200"/>
    <n v="2400"/>
    <x v="87"/>
    <x v="29"/>
    <x v="1"/>
    <x v="14"/>
    <n v="0"/>
    <x v="10"/>
    <x v="2"/>
  </r>
  <r>
    <x v="92"/>
    <n v="1526"/>
    <n v="1660"/>
    <x v="90"/>
    <x v="42"/>
    <x v="2"/>
    <x v="14"/>
    <n v="0"/>
    <x v="10"/>
    <x v="2"/>
  </r>
  <r>
    <x v="93"/>
    <n v="1462"/>
    <n v="1499"/>
    <x v="41"/>
    <x v="30"/>
    <x v="2"/>
    <x v="14"/>
    <n v="0"/>
    <x v="10"/>
    <x v="2"/>
  </r>
  <r>
    <x v="94"/>
    <n v="248"/>
    <n v="486"/>
    <x v="39"/>
    <x v="15"/>
    <x v="1"/>
    <x v="14"/>
    <n v="0"/>
    <x v="10"/>
    <x v="2"/>
  </r>
  <r>
    <x v="95"/>
    <n v="3546"/>
    <n v="3699"/>
    <x v="91"/>
    <x v="38"/>
    <x v="2"/>
    <x v="14"/>
    <n v="0"/>
    <x v="10"/>
    <x v="2"/>
  </r>
  <r>
    <x v="96"/>
    <n v="525"/>
    <n v="1029"/>
    <x v="92"/>
    <x v="15"/>
    <x v="1"/>
    <x v="14"/>
    <n v="0"/>
    <x v="10"/>
    <x v="2"/>
  </r>
  <r>
    <x v="97"/>
    <n v="1080"/>
    <n v="1874"/>
    <x v="93"/>
    <x v="11"/>
    <x v="1"/>
    <x v="14"/>
    <n v="0"/>
    <x v="10"/>
    <x v="2"/>
  </r>
  <r>
    <x v="98"/>
    <n v="3640"/>
    <n v="4588"/>
    <x v="94"/>
    <x v="43"/>
    <x v="0"/>
    <x v="18"/>
    <n v="-1"/>
    <x v="8"/>
    <x v="0"/>
  </r>
  <r>
    <x v="99"/>
    <n v="1420"/>
    <n v="2420"/>
    <x v="64"/>
    <x v="28"/>
    <x v="1"/>
    <x v="14"/>
    <n v="0"/>
    <x v="10"/>
    <x v="2"/>
  </r>
  <r>
    <x v="100"/>
    <n v="1875"/>
    <n v="1899"/>
    <x v="95"/>
    <x v="44"/>
    <x v="2"/>
    <x v="14"/>
    <n v="0"/>
    <x v="10"/>
    <x v="2"/>
  </r>
  <r>
    <x v="101"/>
    <n v="198"/>
    <n v="260"/>
    <x v="96"/>
    <x v="6"/>
    <x v="0"/>
    <x v="14"/>
    <n v="0"/>
    <x v="10"/>
    <x v="2"/>
  </r>
  <r>
    <x v="102"/>
    <n v="1150"/>
    <n v="1737"/>
    <x v="97"/>
    <x v="10"/>
    <x v="0"/>
    <x v="14"/>
    <n v="0"/>
    <x v="10"/>
    <x v="2"/>
  </r>
  <r>
    <x v="103"/>
    <n v="1190"/>
    <n v="1810"/>
    <x v="98"/>
    <x v="10"/>
    <x v="0"/>
    <x v="14"/>
    <n v="0"/>
    <x v="10"/>
    <x v="2"/>
  </r>
  <r>
    <x v="104"/>
    <n v="1658"/>
    <n v="1699"/>
    <x v="99"/>
    <x v="30"/>
    <x v="2"/>
    <x v="14"/>
    <n v="0"/>
    <x v="10"/>
    <x v="2"/>
  </r>
  <r>
    <x v="105"/>
    <n v="1768"/>
    <n v="1799"/>
    <x v="100"/>
    <x v="30"/>
    <x v="2"/>
    <x v="14"/>
    <n v="0"/>
    <x v="10"/>
    <x v="2"/>
  </r>
  <r>
    <x v="106"/>
    <n v="199"/>
    <n v="553"/>
    <x v="101"/>
    <x v="45"/>
    <x v="1"/>
    <x v="14"/>
    <n v="0"/>
    <x v="10"/>
    <x v="2"/>
  </r>
  <r>
    <x v="107"/>
    <n v="450"/>
    <n v="900"/>
    <x v="40"/>
    <x v="29"/>
    <x v="1"/>
    <x v="18"/>
    <n v="-1"/>
    <x v="22"/>
    <x v="3"/>
  </r>
  <r>
    <x v="108"/>
    <n v="169"/>
    <n v="320"/>
    <x v="102"/>
    <x v="1"/>
    <x v="1"/>
    <x v="14"/>
    <n v="0"/>
    <x v="10"/>
    <x v="2"/>
  </r>
  <r>
    <x v="109"/>
    <n v="1186.8928571428571"/>
    <n v="1811.1071428571429"/>
    <x v="103"/>
    <x v="46"/>
    <x v="3"/>
    <x v="24"/>
    <m/>
    <x v="23"/>
    <x v="4"/>
  </r>
  <r>
    <x v="109"/>
    <n v="3750"/>
    <m/>
    <x v="103"/>
    <x v="47"/>
    <x v="3"/>
    <x v="24"/>
    <m/>
    <x v="24"/>
    <x v="4"/>
  </r>
  <r>
    <x v="109"/>
    <n v="38"/>
    <m/>
    <x v="103"/>
    <x v="47"/>
    <x v="3"/>
    <x v="24"/>
    <m/>
    <x v="2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AD566-8930-477A-8F1B-D67A4E9694A0}" name="PivotTable1"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location ref="A3:B5"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items count="10">
        <item x="0"/>
        <item x="1"/>
        <item x="2"/>
        <item x="3"/>
        <item x="4"/>
        <item x="5"/>
        <item x="6"/>
        <item x="7"/>
        <item x="8"/>
        <item t="default"/>
      </items>
    </pivotField>
    <pivotField showAll="0">
      <items count="5">
        <item h="1" x="1"/>
        <item h="1" x="2"/>
        <item x="0"/>
        <item h="1" x="3"/>
        <item t="default"/>
      </items>
    </pivotField>
    <pivotField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Count of Product"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91C35-8482-4126-86C5-BE45F32773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axis="axisRow" showAll="0">
      <items count="10">
        <item h="1" x="0"/>
        <item x="1"/>
        <item x="2"/>
        <item x="3"/>
        <item x="4"/>
        <item x="5"/>
        <item x="6"/>
        <item x="7"/>
        <item x="8"/>
        <item t="default"/>
      </items>
    </pivotField>
    <pivotField showAll="0">
      <items count="5">
        <item h="1" x="1"/>
        <item h="1" x="2"/>
        <item x="0"/>
        <item h="1" x="3"/>
        <item t="default"/>
      </items>
    </pivotField>
    <pivotField dataField="1" showAll="0">
      <items count="10">
        <item x="0"/>
        <item x="1"/>
        <item x="2"/>
        <item x="3"/>
        <item x="4"/>
        <item x="5"/>
        <item x="6"/>
        <item x="7"/>
        <item x="8"/>
        <item t="default"/>
      </items>
    </pivotField>
    <pivotField showAll="0"/>
    <pivotField showAll="0"/>
    <pivotField showAll="0">
      <items count="6">
        <item x="1"/>
        <item h="1" x="0"/>
        <item h="1" x="2"/>
        <item h="1" x="3"/>
        <item h="1" x="4"/>
        <item t="default"/>
      </items>
    </pivotField>
  </pivotFields>
  <rowFields count="1">
    <field x="4"/>
  </rowFields>
  <rowItems count="4">
    <i>
      <x v="2"/>
    </i>
    <i>
      <x v="3"/>
    </i>
    <i>
      <x v="4"/>
    </i>
    <i t="grand">
      <x/>
    </i>
  </rowItems>
  <colItems count="1">
    <i/>
  </colItems>
  <dataFields count="1">
    <dataField name="Count of Pos. Reviews" fld="6"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32AEC-A75D-45C2-BF9B-2CE47204BC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h="1" x="1"/>
        <item h="1" x="2"/>
        <item x="0"/>
        <item h="1" x="3"/>
        <item t="default"/>
      </items>
    </pivotField>
    <pivotField dataField="1" showAll="0"/>
    <pivotField showAll="0"/>
    <pivotField axis="axisRow" showAll="0">
      <items count="26">
        <item x="22"/>
        <item x="15"/>
        <item x="19"/>
        <item x="20"/>
        <item x="13"/>
        <item x="21"/>
        <item x="17"/>
        <item x="16"/>
        <item x="18"/>
        <item x="14"/>
        <item x="9"/>
        <item x="6"/>
        <item h="1" x="23"/>
        <item x="5"/>
        <item x="1"/>
        <item x="7"/>
        <item x="12"/>
        <item x="11"/>
        <item x="0"/>
        <item x="2"/>
        <item x="3"/>
        <item x="4"/>
        <item x="8"/>
        <item h="1" x="10"/>
        <item h="1" x="24"/>
        <item t="default"/>
      </items>
    </pivotField>
    <pivotField showAll="0">
      <items count="6">
        <item x="1"/>
        <item h="1" x="0"/>
        <item h="1" x="2"/>
        <item h="1" x="3"/>
        <item h="1" x="4"/>
        <item t="default"/>
      </items>
    </pivotField>
  </pivotFields>
  <rowFields count="1">
    <field x="8"/>
  </rowFields>
  <rowItems count="7">
    <i>
      <x v="9"/>
    </i>
    <i>
      <x v="11"/>
    </i>
    <i>
      <x v="13"/>
    </i>
    <i>
      <x v="14"/>
    </i>
    <i>
      <x v="15"/>
    </i>
    <i>
      <x v="17"/>
    </i>
    <i t="grand">
      <x/>
    </i>
  </rowItems>
  <colItems count="1">
    <i/>
  </colItems>
  <dataFields count="1">
    <dataField name="Sum of Pos. Reviews" fld="6" baseField="8"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81E59E-F27A-4935-B4E0-D10F6F998C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0">
    <pivotField showAll="0"/>
    <pivotField showAll="0"/>
    <pivotField showAll="0"/>
    <pivotField axis="axisRow" showAll="0">
      <items count="16">
        <item h="1" x="0"/>
        <item x="1"/>
        <item x="2"/>
        <item x="3"/>
        <item x="4"/>
        <item x="5"/>
        <item x="6"/>
        <item x="7"/>
        <item x="8"/>
        <item x="9"/>
        <item x="10"/>
        <item x="11"/>
        <item x="12"/>
        <item x="13"/>
        <item x="14"/>
        <item t="default"/>
      </items>
    </pivotField>
    <pivotField showAll="0"/>
    <pivotField showAll="0">
      <items count="5">
        <item h="1" x="1"/>
        <item h="1" x="2"/>
        <item x="0"/>
        <item h="1" x="3"/>
        <item t="default"/>
      </items>
    </pivotField>
    <pivotField dataField="1" showAll="0"/>
    <pivotField showAll="0"/>
    <pivotField showAll="0"/>
    <pivotField showAll="0">
      <items count="6">
        <item x="1"/>
        <item h="1" x="0"/>
        <item h="1" x="2"/>
        <item h="1" x="3"/>
        <item h="1" x="4"/>
        <item t="default"/>
      </items>
    </pivotField>
  </pivotFields>
  <rowFields count="1">
    <field x="3"/>
  </rowFields>
  <rowItems count="6">
    <i>
      <x v="1"/>
    </i>
    <i>
      <x v="3"/>
    </i>
    <i>
      <x v="4"/>
    </i>
    <i>
      <x v="5"/>
    </i>
    <i>
      <x v="12"/>
    </i>
    <i t="grand">
      <x/>
    </i>
  </rowItems>
  <colItems count="1">
    <i/>
  </colItems>
  <dataFields count="1">
    <dataField name="Sum of Pos. Reviews" fld="6" baseField="3" baseItem="1"/>
  </dataFields>
  <chartFormats count="2">
    <chartFormat chart="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F12D2A-D978-43D8-9831-D173F4DD2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5" firstHeaderRow="1" firstDataRow="1" firstDataCol="1"/>
  <pivotFields count="10">
    <pivotField showAll="0"/>
    <pivotField showAll="0"/>
    <pivotField showAll="0"/>
    <pivotField showAll="0"/>
    <pivotField showAll="0"/>
    <pivotField showAll="0">
      <items count="5">
        <item h="1" x="1"/>
        <item h="1" x="2"/>
        <item x="0"/>
        <item h="1" x="3"/>
        <item t="default"/>
      </items>
    </pivotField>
    <pivotField dataField="1"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Sum of Pos. Reviews" fld="6"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D59D7-005E-48F8-A4E0-AB9D8D6EF4DE}"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5" firstHeaderRow="1" firstDataRow="1" firstDataCol="1" rowPageCount="1" colPageCount="1"/>
  <pivotFields count="10">
    <pivotField showAll="0"/>
    <pivotField showAll="0"/>
    <pivotField showAll="0"/>
    <pivotField showAll="0"/>
    <pivotField showAll="0"/>
    <pivotField axis="axisPage" showAll="0">
      <items count="5">
        <item x="1"/>
        <item x="2"/>
        <item x="0"/>
        <item x="3"/>
        <item t="default"/>
      </items>
    </pivotField>
    <pivotField dataField="1" showAll="0"/>
    <pivotField showAll="0"/>
    <pivotField dataField="1" showAll="0">
      <items count="26">
        <item x="22"/>
        <item x="15"/>
        <item x="19"/>
        <item x="20"/>
        <item x="13"/>
        <item x="21"/>
        <item x="17"/>
        <item x="16"/>
        <item x="18"/>
        <item x="14"/>
        <item x="9"/>
        <item x="6"/>
        <item h="1" x="23"/>
        <item x="5"/>
        <item x="1"/>
        <item x="7"/>
        <item x="12"/>
        <item x="11"/>
        <item x="0"/>
        <item x="2"/>
        <item x="3"/>
        <item x="4"/>
        <item x="8"/>
        <item x="10"/>
        <item h="1" x="24"/>
        <item t="default"/>
      </items>
    </pivotField>
    <pivotField showAll="0">
      <items count="6">
        <item x="1"/>
        <item h="1" x="0"/>
        <item h="1" x="2"/>
        <item h="1" x="3"/>
        <item h="1" x="4"/>
        <item t="default"/>
      </items>
    </pivotField>
  </pivotFields>
  <rowFields count="1">
    <field x="-2"/>
  </rowFields>
  <rowItems count="2">
    <i>
      <x/>
    </i>
    <i i="1">
      <x v="1"/>
    </i>
  </rowItems>
  <colItems count="1">
    <i/>
  </colItems>
  <pageFields count="1">
    <pageField fld="5" item="2" hier="-1"/>
  </pageFields>
  <dataFields count="2">
    <dataField name="Average of Rating" fld="8" subtotal="average" baseField="0" baseItem="1"/>
    <dataField name="Sum of Pos. Reviews" fld="6" baseField="5" baseItem="0"/>
  </dataFields>
  <chartFormats count="8">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1">
          <reference field="4294967294" count="1" selected="0">
            <x v="0"/>
          </reference>
        </references>
      </pivotArea>
    </chartFormat>
    <chartFormat chart="22" format="6">
      <pivotArea type="data" outline="0" fieldPosition="0">
        <references count="1">
          <reference field="4294967294" count="1" selected="0">
            <x v="1"/>
          </reference>
        </references>
      </pivotArea>
    </chartFormat>
    <chartFormat chart="18" format="1">
      <pivotArea type="data" outline="0" fieldPosition="0">
        <references count="1">
          <reference field="4294967294" count="1" selected="0">
            <x v="0"/>
          </reference>
        </references>
      </pivotArea>
    </chartFormat>
    <chartFormat chart="18" format="2">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C0C8F6-64B8-4C52-936A-2055E90ED8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h="1" x="1"/>
        <item h="1" x="2"/>
        <item x="0"/>
        <item h="1" x="3"/>
        <item t="default"/>
      </items>
    </pivotField>
    <pivotField showAll="0"/>
    <pivotField showAll="0"/>
    <pivotField showAll="0"/>
    <pivotField showAll="0">
      <items count="6">
        <item x="1"/>
        <item h="1" x="0"/>
        <item h="1" x="2"/>
        <item h="1" x="3"/>
        <item h="1" x="4"/>
        <item t="default"/>
      </items>
    </pivotField>
  </pivotFields>
  <rowFields count="1">
    <field x="0"/>
  </rowFields>
  <rowItems count="10">
    <i>
      <x v="16"/>
    </i>
    <i>
      <x v="56"/>
    </i>
    <i>
      <x v="73"/>
    </i>
    <i>
      <x v="80"/>
    </i>
    <i>
      <x v="3"/>
    </i>
    <i>
      <x v="26"/>
    </i>
    <i>
      <x v="66"/>
    </i>
    <i>
      <x v="61"/>
    </i>
    <i>
      <x v="62"/>
    </i>
    <i t="grand">
      <x/>
    </i>
  </rowItems>
  <colItems count="1">
    <i/>
  </colItems>
  <dataFields count="1">
    <dataField name="Average of Discount" fld="4"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1A41E3-7A09-4416-91A3-86AE9A5358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dataField="1" showAll="0"/>
    <pivotField showAll="0"/>
    <pivotField showAll="0"/>
    <pivotField showAll="0">
      <items count="6">
        <item x="1"/>
        <item h="1" x="0"/>
        <item h="1" x="2"/>
        <item h="1" x="3"/>
        <item h="1" x="4"/>
        <item t="default"/>
      </items>
    </pivotField>
  </pivotFields>
  <rowFields count="1">
    <field x="0"/>
  </rowFields>
  <rowItems count="10">
    <i>
      <x v="26"/>
    </i>
    <i>
      <x v="61"/>
    </i>
    <i>
      <x v="3"/>
    </i>
    <i>
      <x v="62"/>
    </i>
    <i>
      <x v="80"/>
    </i>
    <i>
      <x v="73"/>
    </i>
    <i>
      <x v="16"/>
    </i>
    <i>
      <x v="66"/>
    </i>
    <i>
      <x v="56"/>
    </i>
    <i t="grand">
      <x/>
    </i>
  </rowItems>
  <colItems count="1">
    <i/>
  </colItems>
  <dataFields count="1">
    <dataField name="Sum of Pos. Reviews" fld="6" baseField="0" baseItem="4" numFmtId="2"/>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EFF669-7BC2-4464-AB1C-FA640915C6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6">
    <i>
      <x v="16"/>
    </i>
    <i>
      <x v="66"/>
    </i>
    <i>
      <x v="3"/>
    </i>
    <i>
      <x v="56"/>
    </i>
    <i>
      <x v="73"/>
    </i>
    <i t="grand">
      <x/>
    </i>
  </rowItems>
  <colItems count="1">
    <i/>
  </colItems>
  <dataFields count="1">
    <dataField name="Average of Rating" fld="8" subtotal="average" baseField="0" baseItem="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028980-C2AA-4E65-970F-C9F5E61A81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1"/>
        <item h="1" x="2"/>
        <item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7">
    <i>
      <x v="61"/>
    </i>
    <i>
      <x v="80"/>
    </i>
    <i>
      <x v="26"/>
    </i>
    <i>
      <x v="62"/>
    </i>
    <i>
      <x v="56"/>
    </i>
    <i>
      <x v="73"/>
    </i>
    <i t="grand">
      <x/>
    </i>
  </rowItems>
  <colItems count="1">
    <i/>
  </colItems>
  <dataFields count="1">
    <dataField name="Average of Rating"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56C657B0-D19C-4B7D-8BC8-53057339CAE2}" sourceName="Rating Category">
  <pivotTables>
    <pivotTable tabId="2" name="PivotTable1"/>
    <pivotTable tabId="22" name="PivotTable3"/>
    <pivotTable tabId="5" name="PivotTable4"/>
    <pivotTable tabId="13" name="PivotTable1"/>
    <pivotTable tabId="6" name="PivotTable5"/>
    <pivotTable tabId="4" name="PivotTable3"/>
    <pivotTable tabId="3" name="PivotTable2"/>
    <pivotTable tabId="20" name="PivotTable1"/>
    <pivotTable tabId="21" name="PivotTable2"/>
    <pivotTable tabId="23" name="PivotTable4"/>
  </pivotTables>
  <data>
    <tabular pivotCacheId="2076967336">
      <items count="5">
        <i x="1" s="1"/>
        <i x="0"/>
        <i x="2"/>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7B6EB06-27AE-4FF1-BC91-949CAC99008B}" sourceName="Discount Category">
  <pivotTables>
    <pivotTable tabId="13" name="PivotTable1"/>
    <pivotTable tabId="22" name="PivotTable3"/>
    <pivotTable tabId="5" name="PivotTable4"/>
    <pivotTable tabId="6" name="PivotTable5"/>
    <pivotTable tabId="2" name="PivotTable1"/>
    <pivotTable tabId="4" name="PivotTable3"/>
    <pivotTable tabId="3" name="PivotTable2"/>
    <pivotTable tabId="20" name="PivotTable1"/>
    <pivotTable tabId="21" name="PivotTable2"/>
    <pivotTable tabId="23" name="PivotTable4"/>
  </pivotTables>
  <data>
    <tabular pivotCacheId="2076967336">
      <items count="4">
        <i x="1"/>
        <i x="2"/>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E40877BD-46C9-4ECC-9DA5-5C2A5A97D2B7}" cache="Slicer_Rating_Category1"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7C9305DA-1351-4EB3-85E0-441428D8A951}"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ABB9C31D-2E46-4833-9562-8342DFDA6F82}" cache="Slicer_Rating_Category1" caption="Rating Category" rowHeight="241300"/>
  <slicer name="Discount Category 1" xr10:uid="{C0F77BE0-787A-416F-A047-8501884CE34E}" cache="Slicer_Discount_Category" caption="Discoun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826889-FA73-4ED7-97DB-B168026BC65E}" name="Table4" displayName="Table4" ref="C1:C11" totalsRowShown="0" headerRowDxfId="3">
  <autoFilter ref="C1:C11" xr:uid="{4F826889-FA73-4ED7-97DB-B168026BC65E}">
    <filterColumn colId="0" hiddenButton="1"/>
  </autoFilter>
  <tableColumns count="1">
    <tableColumn id="1" xr3:uid="{2DD0DEE0-0161-4A4E-9A46-2107C3F13894}" name="Top 10 Products with High Review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43D099-AC31-4F2C-90DF-21FE9116FE03}" name="Table33" displayName="Table33" ref="D1:D11" totalsRowShown="0" headerRowDxfId="2">
  <autoFilter ref="D1:D11" xr:uid="{EE43D099-AC31-4F2C-90DF-21FE9116FE03}">
    <filterColumn colId="0" hiddenButton="1"/>
  </autoFilter>
  <tableColumns count="1">
    <tableColumn id="1" xr3:uid="{1618B7D2-D777-4B16-AA71-645B0FA847E1}" name="Top 10 Products with High Discou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7BB9B7-20C6-413E-8F61-B79DCA88791A}" name="Table57" displayName="Table57" ref="B1:B6" totalsRowShown="0" headerRowDxfId="1">
  <autoFilter ref="B1:B6" xr:uid="{117BB9B7-20C6-413E-8F61-B79DCA88791A}">
    <filterColumn colId="0" hiddenButton="1"/>
  </autoFilter>
  <tableColumns count="1">
    <tableColumn id="1" xr3:uid="{FFD25DBD-185B-48A5-8E67-B3150AF004CC}" name="Bottom 5 Lowest rated Product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539F0A-AC36-42E8-BFC5-BC21C4BCBF95}" name="Table18" displayName="Table18" ref="A1:A6" totalsRowShown="0" headerRowDxfId="0">
  <autoFilter ref="A1:A6" xr:uid="{5B539F0A-AC36-42E8-BFC5-BC21C4BCBF95}">
    <filterColumn colId="0" hiddenButton="1"/>
  </autoFilter>
  <tableColumns count="1">
    <tableColumn id="1" xr3:uid="{8066BB86-5A1F-4DD2-8077-99D8C7DA0228}" name="Top 5 Highest rated Products"/>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0BF3-9E1A-4F02-8280-A7D8230475D0}">
  <dimension ref="A1:J116"/>
  <sheetViews>
    <sheetView workbookViewId="0">
      <pane ySplit="1" topLeftCell="A99" activePane="bottomLeft" state="frozen"/>
      <selection activeCell="B1" sqref="B1"/>
      <selection pane="bottomLeft" activeCell="A115" sqref="A115"/>
    </sheetView>
  </sheetViews>
  <sheetFormatPr defaultRowHeight="14.5" x14ac:dyDescent="0.35"/>
  <cols>
    <col min="1" max="1" width="89.1796875" bestFit="1" customWidth="1"/>
    <col min="2" max="3" width="18.36328125" bestFit="1" customWidth="1"/>
    <col min="4" max="4" width="18.36328125" customWidth="1"/>
    <col min="5" max="5" width="8.08984375" bestFit="1" customWidth="1"/>
    <col min="6" max="6" width="17.81640625" customWidth="1"/>
    <col min="7" max="7" width="12.36328125" style="2" customWidth="1"/>
    <col min="8" max="8" width="6.7265625" bestFit="1" customWidth="1"/>
    <col min="9" max="9" width="10.26953125" bestFit="1" customWidth="1"/>
    <col min="10" max="10" width="14.6328125" customWidth="1"/>
  </cols>
  <sheetData>
    <row r="1" spans="1:10" s="4" customFormat="1" x14ac:dyDescent="0.35">
      <c r="A1" s="4" t="s">
        <v>0</v>
      </c>
      <c r="B1" s="4" t="s">
        <v>141</v>
      </c>
      <c r="C1" s="4" t="s">
        <v>1</v>
      </c>
      <c r="D1" s="7" t="s">
        <v>116</v>
      </c>
      <c r="E1" s="4" t="s">
        <v>2</v>
      </c>
      <c r="F1" s="4" t="s">
        <v>118</v>
      </c>
      <c r="G1" s="7" t="s">
        <v>114</v>
      </c>
      <c r="H1" s="4" t="s">
        <v>3</v>
      </c>
      <c r="I1" s="4" t="s">
        <v>113</v>
      </c>
      <c r="J1" s="4" t="s">
        <v>117</v>
      </c>
    </row>
    <row r="2" spans="1:10" x14ac:dyDescent="0.35">
      <c r="A2" t="s">
        <v>111</v>
      </c>
      <c r="B2">
        <v>450</v>
      </c>
      <c r="C2">
        <v>900</v>
      </c>
      <c r="D2" s="3">
        <f t="shared" ref="D2:D22" si="0">C2-B2</f>
        <v>450</v>
      </c>
      <c r="E2" s="1">
        <v>0.5</v>
      </c>
      <c r="F2" s="1" t="str">
        <f t="shared" ref="F2:F22" si="1">IF(E2&lt;20%,"Low Discount", IF(E2&lt;=40%,"Medium Discount","High Discount"))</f>
        <v>High Discount</v>
      </c>
      <c r="G2" s="2">
        <f t="shared" ref="G2:G22" si="2">ABS(H2)</f>
        <v>1</v>
      </c>
      <c r="H2">
        <v>-1</v>
      </c>
      <c r="I2">
        <v>2</v>
      </c>
      <c r="J2" t="str">
        <f t="shared" ref="J2:J22" si="3">IF(I2="Not Provided", "N/A", IF(I2&lt;3, "Poor", IF(I2&lt;=4.4, "Average", "Excellent")))</f>
        <v>Poor</v>
      </c>
    </row>
    <row r="3" spans="1:10" x14ac:dyDescent="0.35">
      <c r="A3" t="s">
        <v>64</v>
      </c>
      <c r="B3" s="3">
        <v>2115</v>
      </c>
      <c r="C3" s="3">
        <v>4700</v>
      </c>
      <c r="D3" s="3">
        <f t="shared" si="0"/>
        <v>2585</v>
      </c>
      <c r="E3" s="1">
        <v>0.55000000000000004</v>
      </c>
      <c r="F3" s="1" t="str">
        <f t="shared" si="1"/>
        <v>High Discount</v>
      </c>
      <c r="G3" s="2">
        <f t="shared" si="2"/>
        <v>13</v>
      </c>
      <c r="H3">
        <v>-13</v>
      </c>
      <c r="I3">
        <v>2.1</v>
      </c>
      <c r="J3" t="str">
        <f t="shared" si="3"/>
        <v>Poor</v>
      </c>
    </row>
    <row r="4" spans="1:10" x14ac:dyDescent="0.35">
      <c r="A4" t="s">
        <v>76</v>
      </c>
      <c r="B4" s="3">
        <v>1570</v>
      </c>
      <c r="C4" s="3">
        <v>2988</v>
      </c>
      <c r="D4" s="3">
        <f t="shared" si="0"/>
        <v>1418</v>
      </c>
      <c r="E4" s="1">
        <v>0.47</v>
      </c>
      <c r="F4" s="1" t="str">
        <f t="shared" si="1"/>
        <v>High Discount</v>
      </c>
      <c r="G4" s="2">
        <f t="shared" si="2"/>
        <v>7</v>
      </c>
      <c r="H4">
        <v>-7</v>
      </c>
      <c r="I4">
        <v>2.1</v>
      </c>
      <c r="J4" t="str">
        <f t="shared" si="3"/>
        <v>Poor</v>
      </c>
    </row>
    <row r="5" spans="1:10" x14ac:dyDescent="0.35">
      <c r="A5" t="s">
        <v>68</v>
      </c>
      <c r="B5">
        <v>990</v>
      </c>
      <c r="C5" s="3">
        <v>1814</v>
      </c>
      <c r="D5" s="3">
        <f t="shared" si="0"/>
        <v>824</v>
      </c>
      <c r="E5" s="1">
        <v>0.45</v>
      </c>
      <c r="F5" s="1" t="str">
        <f t="shared" si="1"/>
        <v>High Discount</v>
      </c>
      <c r="G5" s="2">
        <f t="shared" si="2"/>
        <v>6</v>
      </c>
      <c r="H5">
        <v>-6</v>
      </c>
      <c r="I5">
        <v>2.2000000000000002</v>
      </c>
      <c r="J5" t="str">
        <f t="shared" si="3"/>
        <v>Poor</v>
      </c>
    </row>
    <row r="6" spans="1:10" x14ac:dyDescent="0.35">
      <c r="A6" t="s">
        <v>75</v>
      </c>
      <c r="B6">
        <v>968</v>
      </c>
      <c r="C6" s="3">
        <v>1814</v>
      </c>
      <c r="D6" s="3">
        <f t="shared" si="0"/>
        <v>846</v>
      </c>
      <c r="E6" s="1">
        <v>0.47</v>
      </c>
      <c r="F6" s="1" t="str">
        <f t="shared" si="1"/>
        <v>High Discount</v>
      </c>
      <c r="G6" s="2">
        <f t="shared" si="2"/>
        <v>6</v>
      </c>
      <c r="H6">
        <v>-6</v>
      </c>
      <c r="I6">
        <v>2.2000000000000002</v>
      </c>
      <c r="J6" t="str">
        <f t="shared" si="3"/>
        <v>Poor</v>
      </c>
    </row>
    <row r="7" spans="1:10" x14ac:dyDescent="0.35">
      <c r="A7" t="s">
        <v>69</v>
      </c>
      <c r="B7" s="3">
        <v>1000</v>
      </c>
      <c r="C7" s="3">
        <v>2000</v>
      </c>
      <c r="D7" s="3">
        <f t="shared" si="0"/>
        <v>1000</v>
      </c>
      <c r="E7" s="1">
        <v>0.5</v>
      </c>
      <c r="F7" s="1" t="str">
        <f t="shared" si="1"/>
        <v>High Discount</v>
      </c>
      <c r="G7" s="2">
        <f t="shared" si="2"/>
        <v>7</v>
      </c>
      <c r="H7">
        <v>-7</v>
      </c>
      <c r="I7">
        <v>2.2999999999999998</v>
      </c>
      <c r="J7" t="str">
        <f t="shared" si="3"/>
        <v>Poor</v>
      </c>
    </row>
    <row r="8" spans="1:10" x14ac:dyDescent="0.35">
      <c r="A8" t="s">
        <v>73</v>
      </c>
      <c r="B8">
        <v>345</v>
      </c>
      <c r="C8">
        <v>602</v>
      </c>
      <c r="D8" s="3">
        <f t="shared" si="0"/>
        <v>257</v>
      </c>
      <c r="E8" s="1">
        <v>0.43</v>
      </c>
      <c r="F8" s="1" t="str">
        <f t="shared" si="1"/>
        <v>High Discount</v>
      </c>
      <c r="G8" s="2">
        <f t="shared" si="2"/>
        <v>6</v>
      </c>
      <c r="H8">
        <v>-6</v>
      </c>
      <c r="I8">
        <v>2.2999999999999998</v>
      </c>
      <c r="J8" t="str">
        <f t="shared" si="3"/>
        <v>Poor</v>
      </c>
    </row>
    <row r="9" spans="1:10" x14ac:dyDescent="0.35">
      <c r="A9" t="s">
        <v>62</v>
      </c>
      <c r="B9" s="3">
        <v>2170</v>
      </c>
      <c r="C9" s="3">
        <v>2500</v>
      </c>
      <c r="D9" s="3">
        <f t="shared" si="0"/>
        <v>330</v>
      </c>
      <c r="E9" s="1">
        <v>0.13</v>
      </c>
      <c r="F9" s="1" t="str">
        <f t="shared" si="1"/>
        <v>Low Discount</v>
      </c>
      <c r="G9" s="2">
        <f t="shared" si="2"/>
        <v>6</v>
      </c>
      <c r="H9">
        <v>-6</v>
      </c>
      <c r="I9">
        <v>2.5</v>
      </c>
      <c r="J9" t="str">
        <f t="shared" si="3"/>
        <v>Poor</v>
      </c>
    </row>
    <row r="10" spans="1:10" x14ac:dyDescent="0.35">
      <c r="A10" t="s">
        <v>71</v>
      </c>
      <c r="B10">
        <v>382</v>
      </c>
      <c r="C10">
        <v>700</v>
      </c>
      <c r="D10" s="3">
        <f t="shared" si="0"/>
        <v>318</v>
      </c>
      <c r="E10" s="1">
        <v>0.45</v>
      </c>
      <c r="F10" s="1" t="str">
        <f t="shared" si="1"/>
        <v>High Discount</v>
      </c>
      <c r="G10" s="2">
        <f t="shared" si="2"/>
        <v>17</v>
      </c>
      <c r="H10">
        <v>-17</v>
      </c>
      <c r="I10">
        <v>2.6</v>
      </c>
      <c r="J10" t="str">
        <f t="shared" si="3"/>
        <v>Poor</v>
      </c>
    </row>
    <row r="11" spans="1:10" x14ac:dyDescent="0.35">
      <c r="A11" t="s">
        <v>66</v>
      </c>
      <c r="B11">
        <v>325</v>
      </c>
      <c r="C11">
        <v>680</v>
      </c>
      <c r="D11" s="3">
        <f t="shared" si="0"/>
        <v>355</v>
      </c>
      <c r="E11" s="1">
        <v>0.52</v>
      </c>
      <c r="F11" s="1" t="str">
        <f t="shared" si="1"/>
        <v>High Discount</v>
      </c>
      <c r="G11" s="2">
        <f t="shared" si="2"/>
        <v>15</v>
      </c>
      <c r="H11">
        <v>-15</v>
      </c>
      <c r="I11">
        <v>2.7</v>
      </c>
      <c r="J11" t="str">
        <f t="shared" si="3"/>
        <v>Poor</v>
      </c>
    </row>
    <row r="12" spans="1:10" x14ac:dyDescent="0.35">
      <c r="A12" t="s">
        <v>65</v>
      </c>
      <c r="B12">
        <v>445</v>
      </c>
      <c r="C12">
        <v>873</v>
      </c>
      <c r="D12" s="3">
        <f t="shared" si="0"/>
        <v>428</v>
      </c>
      <c r="E12" s="1">
        <v>0.49</v>
      </c>
      <c r="F12" s="1" t="str">
        <f t="shared" si="1"/>
        <v>High Discount</v>
      </c>
      <c r="G12" s="2">
        <f t="shared" si="2"/>
        <v>69</v>
      </c>
      <c r="H12">
        <v>-69</v>
      </c>
      <c r="I12">
        <v>2.8</v>
      </c>
      <c r="J12" t="str">
        <f t="shared" si="3"/>
        <v>Poor</v>
      </c>
    </row>
    <row r="13" spans="1:10" x14ac:dyDescent="0.35">
      <c r="A13" t="s">
        <v>67</v>
      </c>
      <c r="B13" s="3">
        <v>1220</v>
      </c>
      <c r="C13" s="3">
        <v>1555</v>
      </c>
      <c r="D13" s="3">
        <f t="shared" si="0"/>
        <v>335</v>
      </c>
      <c r="E13" s="1">
        <v>0.22</v>
      </c>
      <c r="F13" s="1" t="str">
        <f t="shared" si="1"/>
        <v>Medium Discount</v>
      </c>
      <c r="G13" s="2">
        <f t="shared" si="2"/>
        <v>16</v>
      </c>
      <c r="H13">
        <v>-16</v>
      </c>
      <c r="I13">
        <v>2.9</v>
      </c>
      <c r="J13" t="str">
        <f t="shared" si="3"/>
        <v>Poor</v>
      </c>
    </row>
    <row r="14" spans="1:10" x14ac:dyDescent="0.35">
      <c r="A14" t="s">
        <v>63</v>
      </c>
      <c r="B14">
        <v>458</v>
      </c>
      <c r="C14">
        <v>986</v>
      </c>
      <c r="D14" s="3">
        <f t="shared" si="0"/>
        <v>528</v>
      </c>
      <c r="E14" s="1">
        <v>0.54</v>
      </c>
      <c r="F14" s="1" t="str">
        <f t="shared" si="1"/>
        <v>High Discount</v>
      </c>
      <c r="G14" s="2">
        <f t="shared" si="2"/>
        <v>10</v>
      </c>
      <c r="H14">
        <v>-10</v>
      </c>
      <c r="I14">
        <v>3</v>
      </c>
      <c r="J14" t="str">
        <f t="shared" si="3"/>
        <v>Average</v>
      </c>
    </row>
    <row r="15" spans="1:10" x14ac:dyDescent="0.35">
      <c r="A15" t="s">
        <v>70</v>
      </c>
      <c r="B15" s="3">
        <v>3750</v>
      </c>
      <c r="C15" s="3">
        <v>6143</v>
      </c>
      <c r="D15" s="3">
        <f t="shared" si="0"/>
        <v>2393</v>
      </c>
      <c r="E15" s="1">
        <v>0.39</v>
      </c>
      <c r="F15" s="1" t="str">
        <f t="shared" si="1"/>
        <v>Medium Discount</v>
      </c>
      <c r="G15" s="2">
        <f t="shared" si="2"/>
        <v>5</v>
      </c>
      <c r="H15">
        <v>-5</v>
      </c>
      <c r="I15">
        <v>3</v>
      </c>
      <c r="J15" t="str">
        <f t="shared" si="3"/>
        <v>Average</v>
      </c>
    </row>
    <row r="16" spans="1:10" x14ac:dyDescent="0.35">
      <c r="A16" t="s">
        <v>72</v>
      </c>
      <c r="B16" s="3">
        <v>2300</v>
      </c>
      <c r="C16" s="3">
        <v>3240</v>
      </c>
      <c r="D16" s="3">
        <f t="shared" si="0"/>
        <v>940</v>
      </c>
      <c r="E16" s="1">
        <v>0.28999999999999998</v>
      </c>
      <c r="F16" s="1" t="str">
        <f t="shared" si="1"/>
        <v>Medium Discount</v>
      </c>
      <c r="G16" s="2">
        <f t="shared" si="2"/>
        <v>5</v>
      </c>
      <c r="H16">
        <v>-5</v>
      </c>
      <c r="I16">
        <v>3</v>
      </c>
      <c r="J16" t="str">
        <f t="shared" si="3"/>
        <v>Average</v>
      </c>
    </row>
    <row r="17" spans="1:10" x14ac:dyDescent="0.35">
      <c r="A17" t="s">
        <v>74</v>
      </c>
      <c r="B17">
        <v>509</v>
      </c>
      <c r="C17">
        <v>899</v>
      </c>
      <c r="D17" s="3">
        <f t="shared" si="0"/>
        <v>390</v>
      </c>
      <c r="E17" s="1">
        <v>0.43</v>
      </c>
      <c r="F17" s="1" t="str">
        <f t="shared" si="1"/>
        <v>High Discount</v>
      </c>
      <c r="G17" s="2">
        <f t="shared" si="2"/>
        <v>5</v>
      </c>
      <c r="H17">
        <v>-5</v>
      </c>
      <c r="I17">
        <v>3</v>
      </c>
      <c r="J17" t="str">
        <f t="shared" si="3"/>
        <v>Average</v>
      </c>
    </row>
    <row r="18" spans="1:10" x14ac:dyDescent="0.35">
      <c r="A18" t="s">
        <v>81</v>
      </c>
      <c r="B18" s="3">
        <v>1189</v>
      </c>
      <c r="C18" s="3">
        <v>2199</v>
      </c>
      <c r="D18" s="3">
        <f t="shared" si="0"/>
        <v>1010</v>
      </c>
      <c r="E18" s="1">
        <v>0.46</v>
      </c>
      <c r="F18" s="1" t="str">
        <f t="shared" si="1"/>
        <v>High Discount</v>
      </c>
      <c r="G18" s="2">
        <f t="shared" si="2"/>
        <v>1</v>
      </c>
      <c r="H18">
        <v>-1</v>
      </c>
      <c r="I18">
        <v>3</v>
      </c>
      <c r="J18" t="str">
        <f t="shared" si="3"/>
        <v>Average</v>
      </c>
    </row>
    <row r="19" spans="1:10" x14ac:dyDescent="0.35">
      <c r="A19" t="s">
        <v>24</v>
      </c>
      <c r="B19">
        <v>38</v>
      </c>
      <c r="C19">
        <v>80</v>
      </c>
      <c r="D19" s="3">
        <f t="shared" si="0"/>
        <v>42</v>
      </c>
      <c r="E19" s="1">
        <v>0.53</v>
      </c>
      <c r="F19" s="1" t="str">
        <f t="shared" si="1"/>
        <v>High Discount</v>
      </c>
      <c r="G19" s="2">
        <f t="shared" si="2"/>
        <v>13</v>
      </c>
      <c r="H19">
        <v>-13</v>
      </c>
      <c r="I19">
        <v>3.3</v>
      </c>
      <c r="J19" t="str">
        <f t="shared" si="3"/>
        <v>Average</v>
      </c>
    </row>
    <row r="20" spans="1:10" x14ac:dyDescent="0.35">
      <c r="A20" t="s">
        <v>31</v>
      </c>
      <c r="B20" s="3">
        <v>1350</v>
      </c>
      <c r="C20" s="3">
        <v>1990</v>
      </c>
      <c r="D20" s="3">
        <f t="shared" si="0"/>
        <v>640</v>
      </c>
      <c r="E20" s="1">
        <v>0.32</v>
      </c>
      <c r="F20" s="1" t="str">
        <f t="shared" si="1"/>
        <v>Medium Discount</v>
      </c>
      <c r="G20" s="2">
        <f t="shared" si="2"/>
        <v>13</v>
      </c>
      <c r="H20">
        <v>-13</v>
      </c>
      <c r="I20">
        <v>3.8</v>
      </c>
      <c r="J20" t="str">
        <f t="shared" si="3"/>
        <v>Average</v>
      </c>
    </row>
    <row r="21" spans="1:10" x14ac:dyDescent="0.35">
      <c r="A21" t="s">
        <v>30</v>
      </c>
      <c r="B21" s="3">
        <v>2880</v>
      </c>
      <c r="C21" s="3">
        <v>3520</v>
      </c>
      <c r="D21" s="3">
        <f t="shared" si="0"/>
        <v>640</v>
      </c>
      <c r="E21" s="1">
        <v>0.18</v>
      </c>
      <c r="F21" s="1" t="str">
        <f t="shared" si="1"/>
        <v>Low Discount</v>
      </c>
      <c r="G21" s="2">
        <f t="shared" si="2"/>
        <v>12</v>
      </c>
      <c r="H21">
        <v>-12</v>
      </c>
      <c r="I21">
        <v>3.8</v>
      </c>
      <c r="J21" t="str">
        <f t="shared" si="3"/>
        <v>Average</v>
      </c>
    </row>
    <row r="22" spans="1:10" x14ac:dyDescent="0.35">
      <c r="A22" t="s">
        <v>13</v>
      </c>
      <c r="B22" s="3">
        <v>1600</v>
      </c>
      <c r="C22" s="3">
        <v>2929</v>
      </c>
      <c r="D22" s="3">
        <f t="shared" si="0"/>
        <v>1329</v>
      </c>
      <c r="E22" s="1">
        <v>0.45</v>
      </c>
      <c r="F22" s="1" t="str">
        <f t="shared" si="1"/>
        <v>High Discount</v>
      </c>
      <c r="G22" s="2">
        <f t="shared" si="2"/>
        <v>5</v>
      </c>
      <c r="H22">
        <v>-5</v>
      </c>
      <c r="I22">
        <v>3.8</v>
      </c>
      <c r="J22" t="str">
        <f t="shared" si="3"/>
        <v>Average</v>
      </c>
    </row>
    <row r="23" spans="1:10" x14ac:dyDescent="0.35">
      <c r="B23">
        <f>AVERAGE(B1:B22)</f>
        <v>1240.6666666666667</v>
      </c>
      <c r="C23" s="3">
        <f>AVERAGE(C1:C22)</f>
        <v>2052.9523809523807</v>
      </c>
      <c r="E23" s="1">
        <f>AVERAGE(E1:E22)</f>
        <v>0.41761904761904761</v>
      </c>
      <c r="I23">
        <f>AVERAGE(I1:I22)</f>
        <v>2.7809523809523804</v>
      </c>
    </row>
    <row r="24" spans="1:10" x14ac:dyDescent="0.35">
      <c r="A24" t="s">
        <v>9</v>
      </c>
      <c r="B24" s="3">
        <v>2999</v>
      </c>
      <c r="C24" s="3">
        <v>3290</v>
      </c>
      <c r="D24" s="3">
        <f t="shared" ref="D24:D55" si="4">C24-B24</f>
        <v>291</v>
      </c>
      <c r="E24" s="1">
        <v>0.09</v>
      </c>
      <c r="F24" s="1" t="str">
        <f t="shared" ref="F24:F55" si="5">IF(E24&lt;20%,"Low Discount", IF(E24&lt;=40%,"Medium Discount","High Discount"))</f>
        <v>Low Discount</v>
      </c>
      <c r="G24" s="2">
        <f t="shared" ref="G24:G55" si="6">ABS(H24)</f>
        <v>15</v>
      </c>
      <c r="H24">
        <v>-15</v>
      </c>
      <c r="I24">
        <v>4</v>
      </c>
      <c r="J24" t="str">
        <f t="shared" ref="J24:J55" si="7">IF(I24="Not Provided", "N/A", IF(I24&lt;3, "Poor", IF(I24&lt;=4.4, "Average", "Excellent")))</f>
        <v>Average</v>
      </c>
    </row>
    <row r="25" spans="1:10" x14ac:dyDescent="0.35">
      <c r="A25" t="s">
        <v>26</v>
      </c>
      <c r="B25">
        <v>880</v>
      </c>
      <c r="C25" s="3">
        <v>1350</v>
      </c>
      <c r="D25" s="3">
        <f t="shared" si="4"/>
        <v>470</v>
      </c>
      <c r="E25" s="1">
        <v>0.35</v>
      </c>
      <c r="F25" s="1" t="str">
        <f t="shared" si="5"/>
        <v>Medium Discount</v>
      </c>
      <c r="G25" s="2">
        <f t="shared" si="6"/>
        <v>6</v>
      </c>
      <c r="H25">
        <v>-6</v>
      </c>
      <c r="I25">
        <v>4</v>
      </c>
      <c r="J25" t="str">
        <f t="shared" si="7"/>
        <v>Average</v>
      </c>
    </row>
    <row r="26" spans="1:10" x14ac:dyDescent="0.35">
      <c r="A26" t="s">
        <v>11</v>
      </c>
      <c r="B26">
        <v>988</v>
      </c>
      <c r="C26" s="3">
        <v>1580</v>
      </c>
      <c r="D26" s="3">
        <f t="shared" si="4"/>
        <v>592</v>
      </c>
      <c r="E26" s="1">
        <v>0.37</v>
      </c>
      <c r="F26" s="1" t="str">
        <f t="shared" si="5"/>
        <v>Medium Discount</v>
      </c>
      <c r="G26" s="2">
        <f t="shared" si="6"/>
        <v>2</v>
      </c>
      <c r="H26">
        <v>-2</v>
      </c>
      <c r="I26">
        <v>4</v>
      </c>
      <c r="J26" t="str">
        <f t="shared" si="7"/>
        <v>Average</v>
      </c>
    </row>
    <row r="27" spans="1:10" x14ac:dyDescent="0.35">
      <c r="A27" t="s">
        <v>85</v>
      </c>
      <c r="B27">
        <v>330</v>
      </c>
      <c r="C27">
        <v>647</v>
      </c>
      <c r="D27" s="3">
        <f t="shared" si="4"/>
        <v>317</v>
      </c>
      <c r="E27" s="1">
        <v>0.49</v>
      </c>
      <c r="F27" s="1" t="str">
        <f t="shared" si="5"/>
        <v>High Discount</v>
      </c>
      <c r="G27" s="2">
        <f t="shared" si="6"/>
        <v>1</v>
      </c>
      <c r="H27">
        <v>-1</v>
      </c>
      <c r="I27">
        <v>4</v>
      </c>
      <c r="J27" t="str">
        <f t="shared" si="7"/>
        <v>Average</v>
      </c>
    </row>
    <row r="28" spans="1:10" x14ac:dyDescent="0.35">
      <c r="A28" t="s">
        <v>32</v>
      </c>
      <c r="B28" s="3">
        <v>1758</v>
      </c>
      <c r="C28" s="3">
        <v>2499</v>
      </c>
      <c r="D28" s="3">
        <f t="shared" si="4"/>
        <v>741</v>
      </c>
      <c r="E28" s="1">
        <v>0.3</v>
      </c>
      <c r="F28" s="1" t="str">
        <f t="shared" si="5"/>
        <v>Medium Discount</v>
      </c>
      <c r="G28" s="2">
        <f t="shared" si="6"/>
        <v>20</v>
      </c>
      <c r="H28">
        <v>-20</v>
      </c>
      <c r="I28">
        <v>4.0999999999999996</v>
      </c>
      <c r="J28" t="str">
        <f t="shared" si="7"/>
        <v>Average</v>
      </c>
    </row>
    <row r="29" spans="1:10" x14ac:dyDescent="0.35">
      <c r="A29" t="s">
        <v>5</v>
      </c>
      <c r="B29">
        <v>527</v>
      </c>
      <c r="C29">
        <v>999</v>
      </c>
      <c r="D29" s="3">
        <f t="shared" si="4"/>
        <v>472</v>
      </c>
      <c r="E29" s="1">
        <v>0.47</v>
      </c>
      <c r="F29" s="1" t="str">
        <f t="shared" si="5"/>
        <v>High Discount</v>
      </c>
      <c r="G29" s="2">
        <f t="shared" si="6"/>
        <v>14</v>
      </c>
      <c r="H29">
        <v>-14</v>
      </c>
      <c r="I29">
        <v>4.0999999999999996</v>
      </c>
      <c r="J29" t="str">
        <f t="shared" si="7"/>
        <v>Average</v>
      </c>
    </row>
    <row r="30" spans="1:10" x14ac:dyDescent="0.35">
      <c r="A30" t="s">
        <v>14</v>
      </c>
      <c r="B30">
        <v>799</v>
      </c>
      <c r="C30">
        <v>999</v>
      </c>
      <c r="D30" s="3">
        <f t="shared" si="4"/>
        <v>200</v>
      </c>
      <c r="E30" s="1">
        <v>0.2</v>
      </c>
      <c r="F30" s="1" t="str">
        <f t="shared" si="5"/>
        <v>Medium Discount</v>
      </c>
      <c r="G30" s="2">
        <f t="shared" si="6"/>
        <v>12</v>
      </c>
      <c r="H30">
        <v>-12</v>
      </c>
      <c r="I30">
        <v>4.0999999999999996</v>
      </c>
      <c r="J30" t="str">
        <f t="shared" si="7"/>
        <v>Average</v>
      </c>
    </row>
    <row r="31" spans="1:10" x14ac:dyDescent="0.35">
      <c r="A31" t="s">
        <v>18</v>
      </c>
      <c r="B31" s="3">
        <v>1680</v>
      </c>
      <c r="C31" s="3">
        <v>2499</v>
      </c>
      <c r="D31" s="3">
        <f t="shared" si="4"/>
        <v>819</v>
      </c>
      <c r="E31" s="1">
        <v>0.33</v>
      </c>
      <c r="F31" s="1" t="str">
        <f t="shared" si="5"/>
        <v>Medium Discount</v>
      </c>
      <c r="G31" s="2">
        <f t="shared" si="6"/>
        <v>9</v>
      </c>
      <c r="H31">
        <v>-9</v>
      </c>
      <c r="I31">
        <v>4.2</v>
      </c>
      <c r="J31" t="str">
        <f t="shared" si="7"/>
        <v>Average</v>
      </c>
    </row>
    <row r="32" spans="1:10" x14ac:dyDescent="0.35">
      <c r="A32" t="s">
        <v>41</v>
      </c>
      <c r="B32">
        <v>389</v>
      </c>
      <c r="C32">
        <v>656</v>
      </c>
      <c r="D32" s="3">
        <f t="shared" si="4"/>
        <v>267</v>
      </c>
      <c r="E32" s="1">
        <v>0.41</v>
      </c>
      <c r="F32" s="1" t="str">
        <f t="shared" si="5"/>
        <v>High Discount</v>
      </c>
      <c r="G32" s="2">
        <f t="shared" si="6"/>
        <v>36</v>
      </c>
      <c r="H32">
        <v>-36</v>
      </c>
      <c r="I32">
        <v>4.3</v>
      </c>
      <c r="J32" t="str">
        <f t="shared" si="7"/>
        <v>Average</v>
      </c>
    </row>
    <row r="33" spans="1:10" x14ac:dyDescent="0.35">
      <c r="A33" t="s">
        <v>34</v>
      </c>
      <c r="B33">
        <v>185</v>
      </c>
      <c r="C33">
        <v>382</v>
      </c>
      <c r="D33" s="3">
        <f t="shared" si="4"/>
        <v>197</v>
      </c>
      <c r="E33" s="1">
        <v>0.52</v>
      </c>
      <c r="F33" s="1" t="str">
        <f t="shared" si="5"/>
        <v>High Discount</v>
      </c>
      <c r="G33" s="2">
        <f t="shared" si="6"/>
        <v>9</v>
      </c>
      <c r="H33">
        <v>-9</v>
      </c>
      <c r="I33">
        <v>4.3</v>
      </c>
      <c r="J33" t="str">
        <f t="shared" si="7"/>
        <v>Average</v>
      </c>
    </row>
    <row r="34" spans="1:10" x14ac:dyDescent="0.35">
      <c r="A34" t="s">
        <v>36</v>
      </c>
      <c r="B34" s="3">
        <v>1820</v>
      </c>
      <c r="C34" s="3">
        <v>3490</v>
      </c>
      <c r="D34" s="3">
        <f t="shared" si="4"/>
        <v>1670</v>
      </c>
      <c r="E34" s="1">
        <v>0.48</v>
      </c>
      <c r="F34" s="1" t="str">
        <f t="shared" si="5"/>
        <v>High Discount</v>
      </c>
      <c r="G34" s="2">
        <f t="shared" si="6"/>
        <v>9</v>
      </c>
      <c r="H34">
        <v>-9</v>
      </c>
      <c r="I34">
        <v>4.3</v>
      </c>
      <c r="J34" t="str">
        <f t="shared" si="7"/>
        <v>Average</v>
      </c>
    </row>
    <row r="35" spans="1:10" x14ac:dyDescent="0.35">
      <c r="A35" t="s">
        <v>28</v>
      </c>
      <c r="B35" s="3">
        <v>2048</v>
      </c>
      <c r="C35" s="3">
        <v>4500</v>
      </c>
      <c r="D35" s="3">
        <f t="shared" si="4"/>
        <v>2452</v>
      </c>
      <c r="E35" s="1">
        <v>0.54</v>
      </c>
      <c r="F35" s="1" t="str">
        <f t="shared" si="5"/>
        <v>High Discount</v>
      </c>
      <c r="G35" s="2">
        <f t="shared" si="6"/>
        <v>7</v>
      </c>
      <c r="H35">
        <v>-7</v>
      </c>
      <c r="I35">
        <v>4.3</v>
      </c>
      <c r="J35" t="str">
        <f t="shared" si="7"/>
        <v>Average</v>
      </c>
    </row>
    <row r="36" spans="1:10" x14ac:dyDescent="0.35">
      <c r="A36" t="s">
        <v>27</v>
      </c>
      <c r="B36" s="3">
        <v>1650</v>
      </c>
      <c r="C36" s="3">
        <v>2150</v>
      </c>
      <c r="D36" s="3">
        <f t="shared" si="4"/>
        <v>500</v>
      </c>
      <c r="E36" s="1">
        <v>0.23</v>
      </c>
      <c r="F36" s="1" t="str">
        <f t="shared" si="5"/>
        <v>Medium Discount</v>
      </c>
      <c r="G36" s="2">
        <f t="shared" si="6"/>
        <v>14</v>
      </c>
      <c r="H36">
        <v>-14</v>
      </c>
      <c r="I36">
        <v>4.4000000000000004</v>
      </c>
      <c r="J36" t="str">
        <f t="shared" si="7"/>
        <v>Average</v>
      </c>
    </row>
    <row r="37" spans="1:10" x14ac:dyDescent="0.35">
      <c r="A37" t="s">
        <v>38</v>
      </c>
      <c r="B37" s="3">
        <v>1980</v>
      </c>
      <c r="C37" s="3">
        <v>2699</v>
      </c>
      <c r="D37" s="3">
        <f t="shared" si="4"/>
        <v>719</v>
      </c>
      <c r="E37" s="1">
        <v>0.27</v>
      </c>
      <c r="F37" s="1" t="str">
        <f t="shared" si="5"/>
        <v>Medium Discount</v>
      </c>
      <c r="G37" s="2">
        <f t="shared" si="6"/>
        <v>32</v>
      </c>
      <c r="H37">
        <v>-32</v>
      </c>
      <c r="I37">
        <v>4.5</v>
      </c>
      <c r="J37" t="str">
        <f t="shared" si="7"/>
        <v>Excellent</v>
      </c>
    </row>
    <row r="38" spans="1:10" x14ac:dyDescent="0.35">
      <c r="A38" t="s">
        <v>17</v>
      </c>
      <c r="B38">
        <v>501</v>
      </c>
      <c r="C38">
        <v>860</v>
      </c>
      <c r="D38" s="3">
        <f t="shared" si="4"/>
        <v>359</v>
      </c>
      <c r="E38" s="1">
        <v>0.42</v>
      </c>
      <c r="F38" s="1" t="str">
        <f t="shared" si="5"/>
        <v>High Discount</v>
      </c>
      <c r="G38" s="2">
        <f t="shared" si="6"/>
        <v>6</v>
      </c>
      <c r="H38">
        <v>-6</v>
      </c>
      <c r="I38">
        <v>4.5</v>
      </c>
      <c r="J38" t="str">
        <f t="shared" si="7"/>
        <v>Excellent</v>
      </c>
    </row>
    <row r="39" spans="1:10" x14ac:dyDescent="0.35">
      <c r="A39" t="s">
        <v>4</v>
      </c>
      <c r="B39">
        <v>950</v>
      </c>
      <c r="C39" s="3">
        <v>1525</v>
      </c>
      <c r="D39" s="3">
        <f t="shared" si="4"/>
        <v>575</v>
      </c>
      <c r="E39" s="1">
        <v>0.38</v>
      </c>
      <c r="F39" s="1" t="str">
        <f t="shared" si="5"/>
        <v>Medium Discount</v>
      </c>
      <c r="G39" s="2">
        <f t="shared" si="6"/>
        <v>2</v>
      </c>
      <c r="H39">
        <v>-2</v>
      </c>
      <c r="I39">
        <v>4.5</v>
      </c>
      <c r="J39" t="str">
        <f t="shared" si="7"/>
        <v>Excellent</v>
      </c>
    </row>
    <row r="40" spans="1:10" x14ac:dyDescent="0.35">
      <c r="A40" t="s">
        <v>42</v>
      </c>
      <c r="B40">
        <v>1800</v>
      </c>
      <c r="C40">
        <v>2700</v>
      </c>
      <c r="D40" s="3">
        <f t="shared" si="4"/>
        <v>900</v>
      </c>
      <c r="E40" s="1">
        <v>0.38</v>
      </c>
      <c r="F40" s="1" t="str">
        <f t="shared" si="5"/>
        <v>Medium Discount</v>
      </c>
      <c r="G40" s="2">
        <f t="shared" si="6"/>
        <v>2</v>
      </c>
      <c r="H40">
        <v>-2</v>
      </c>
      <c r="I40">
        <v>4.5</v>
      </c>
      <c r="J40" t="str">
        <f t="shared" si="7"/>
        <v>Excellent</v>
      </c>
    </row>
    <row r="41" spans="1:10" x14ac:dyDescent="0.35">
      <c r="A41" t="s">
        <v>10</v>
      </c>
      <c r="B41" s="3">
        <v>2319</v>
      </c>
      <c r="C41" s="3">
        <v>3032</v>
      </c>
      <c r="D41" s="3">
        <f t="shared" si="4"/>
        <v>713</v>
      </c>
      <c r="E41" s="1">
        <v>0.24</v>
      </c>
      <c r="F41" s="1" t="str">
        <f t="shared" si="5"/>
        <v>Medium Discount</v>
      </c>
      <c r="G41" s="2">
        <f t="shared" si="6"/>
        <v>55</v>
      </c>
      <c r="H41">
        <v>-55</v>
      </c>
      <c r="I41">
        <v>4.5999999999999996</v>
      </c>
      <c r="J41" t="str">
        <f t="shared" si="7"/>
        <v>Excellent</v>
      </c>
    </row>
    <row r="42" spans="1:10" x14ac:dyDescent="0.35">
      <c r="A42" t="s">
        <v>29</v>
      </c>
      <c r="B42">
        <v>420</v>
      </c>
      <c r="C42">
        <v>647</v>
      </c>
      <c r="D42" s="3">
        <f t="shared" si="4"/>
        <v>227</v>
      </c>
      <c r="E42" s="1">
        <v>0.35</v>
      </c>
      <c r="F42" s="1" t="str">
        <f t="shared" si="5"/>
        <v>Medium Discount</v>
      </c>
      <c r="G42" s="2">
        <f t="shared" si="6"/>
        <v>49</v>
      </c>
      <c r="H42">
        <v>-49</v>
      </c>
      <c r="I42">
        <v>4.5999999999999996</v>
      </c>
      <c r="J42" t="str">
        <f t="shared" si="7"/>
        <v>Excellent</v>
      </c>
    </row>
    <row r="43" spans="1:10" x14ac:dyDescent="0.35">
      <c r="A43" t="s">
        <v>23</v>
      </c>
      <c r="B43">
        <v>998</v>
      </c>
      <c r="C43" s="3">
        <v>1966</v>
      </c>
      <c r="D43" s="3">
        <f t="shared" si="4"/>
        <v>968</v>
      </c>
      <c r="E43" s="1">
        <v>0.49</v>
      </c>
      <c r="F43" s="1" t="str">
        <f t="shared" si="5"/>
        <v>High Discount</v>
      </c>
      <c r="G43" s="2">
        <f t="shared" si="6"/>
        <v>44</v>
      </c>
      <c r="H43">
        <v>-44</v>
      </c>
      <c r="I43">
        <v>4.5999999999999996</v>
      </c>
      <c r="J43" t="str">
        <f t="shared" si="7"/>
        <v>Excellent</v>
      </c>
    </row>
    <row r="44" spans="1:10" x14ac:dyDescent="0.35">
      <c r="A44" t="s">
        <v>6</v>
      </c>
      <c r="B44" s="3">
        <v>2199</v>
      </c>
      <c r="C44" s="3">
        <v>2923</v>
      </c>
      <c r="D44" s="3">
        <f t="shared" si="4"/>
        <v>724</v>
      </c>
      <c r="E44" s="1">
        <v>0.25</v>
      </c>
      <c r="F44" s="1" t="str">
        <f t="shared" si="5"/>
        <v>Medium Discount</v>
      </c>
      <c r="G44" s="2">
        <f t="shared" si="6"/>
        <v>24</v>
      </c>
      <c r="H44">
        <v>-24</v>
      </c>
      <c r="I44">
        <v>4.5999999999999996</v>
      </c>
      <c r="J44" t="str">
        <f t="shared" si="7"/>
        <v>Excellent</v>
      </c>
    </row>
    <row r="45" spans="1:10" x14ac:dyDescent="0.35">
      <c r="A45" t="s">
        <v>22</v>
      </c>
      <c r="B45" s="3">
        <v>2999</v>
      </c>
      <c r="C45" s="3">
        <v>3699</v>
      </c>
      <c r="D45" s="3">
        <f t="shared" si="4"/>
        <v>700</v>
      </c>
      <c r="E45" s="1">
        <v>0.19</v>
      </c>
      <c r="F45" s="1" t="str">
        <f t="shared" si="5"/>
        <v>Low Discount</v>
      </c>
      <c r="G45" s="2">
        <f t="shared" si="6"/>
        <v>5</v>
      </c>
      <c r="H45">
        <v>-5</v>
      </c>
      <c r="I45">
        <v>4.5999999999999996</v>
      </c>
      <c r="J45" t="str">
        <f t="shared" si="7"/>
        <v>Excellent</v>
      </c>
    </row>
    <row r="46" spans="1:10" x14ac:dyDescent="0.35">
      <c r="A46" t="s">
        <v>15</v>
      </c>
      <c r="B46">
        <v>990</v>
      </c>
      <c r="C46" s="3">
        <v>1500</v>
      </c>
      <c r="D46" s="3">
        <f t="shared" si="4"/>
        <v>510</v>
      </c>
      <c r="E46" s="1">
        <v>0.34</v>
      </c>
      <c r="F46" s="1" t="str">
        <f t="shared" si="5"/>
        <v>Medium Discount</v>
      </c>
      <c r="G46" s="2">
        <f t="shared" si="6"/>
        <v>39</v>
      </c>
      <c r="H46">
        <v>-39</v>
      </c>
      <c r="I46">
        <v>4.7</v>
      </c>
      <c r="J46" t="str">
        <f t="shared" si="7"/>
        <v>Excellent</v>
      </c>
    </row>
    <row r="47" spans="1:10" x14ac:dyDescent="0.35">
      <c r="A47" t="s">
        <v>37</v>
      </c>
      <c r="B47" s="3">
        <v>1940</v>
      </c>
      <c r="C47" s="3">
        <v>2650</v>
      </c>
      <c r="D47" s="3">
        <f t="shared" si="4"/>
        <v>710</v>
      </c>
      <c r="E47" s="1">
        <v>0.27</v>
      </c>
      <c r="F47" s="1" t="str">
        <f t="shared" si="5"/>
        <v>Medium Discount</v>
      </c>
      <c r="G47" s="2">
        <f t="shared" si="6"/>
        <v>20</v>
      </c>
      <c r="H47">
        <v>-20</v>
      </c>
      <c r="I47">
        <v>4.7</v>
      </c>
      <c r="J47" t="str">
        <f t="shared" si="7"/>
        <v>Excellent</v>
      </c>
    </row>
    <row r="48" spans="1:10" x14ac:dyDescent="0.35">
      <c r="A48" t="s">
        <v>35</v>
      </c>
      <c r="B48">
        <v>980</v>
      </c>
      <c r="C48" s="3">
        <v>1490</v>
      </c>
      <c r="D48" s="3">
        <f t="shared" si="4"/>
        <v>510</v>
      </c>
      <c r="E48" s="1">
        <v>0.34</v>
      </c>
      <c r="F48" s="1" t="str">
        <f t="shared" si="5"/>
        <v>Medium Discount</v>
      </c>
      <c r="G48" s="2">
        <f t="shared" si="6"/>
        <v>12</v>
      </c>
      <c r="H48">
        <v>-12</v>
      </c>
      <c r="I48">
        <v>4.7</v>
      </c>
      <c r="J48" t="str">
        <f t="shared" si="7"/>
        <v>Excellent</v>
      </c>
    </row>
    <row r="49" spans="1:10" x14ac:dyDescent="0.35">
      <c r="A49" t="s">
        <v>7</v>
      </c>
      <c r="B49" s="3">
        <v>1580</v>
      </c>
      <c r="C49" s="3">
        <v>2499</v>
      </c>
      <c r="D49" s="3">
        <f t="shared" si="4"/>
        <v>919</v>
      </c>
      <c r="E49" s="1">
        <v>0.37</v>
      </c>
      <c r="F49" s="1" t="str">
        <f t="shared" si="5"/>
        <v>Medium Discount</v>
      </c>
      <c r="G49" s="2">
        <f t="shared" si="6"/>
        <v>7</v>
      </c>
      <c r="H49">
        <v>-7</v>
      </c>
      <c r="I49">
        <v>4.7</v>
      </c>
      <c r="J49" t="str">
        <f t="shared" si="7"/>
        <v>Excellent</v>
      </c>
    </row>
    <row r="50" spans="1:10" x14ac:dyDescent="0.35">
      <c r="A50" t="s">
        <v>16</v>
      </c>
      <c r="B50">
        <v>552</v>
      </c>
      <c r="C50" s="3">
        <v>1035</v>
      </c>
      <c r="D50" s="3">
        <f t="shared" si="4"/>
        <v>483</v>
      </c>
      <c r="E50" s="1">
        <v>0.47</v>
      </c>
      <c r="F50" s="1" t="str">
        <f t="shared" si="5"/>
        <v>High Discount</v>
      </c>
      <c r="G50" s="2">
        <f t="shared" si="6"/>
        <v>12</v>
      </c>
      <c r="H50">
        <v>-12</v>
      </c>
      <c r="I50">
        <v>4.8</v>
      </c>
      <c r="J50" t="str">
        <f t="shared" si="7"/>
        <v>Excellent</v>
      </c>
    </row>
    <row r="51" spans="1:10" x14ac:dyDescent="0.35">
      <c r="A51" t="s">
        <v>8</v>
      </c>
      <c r="B51" s="3">
        <v>1740</v>
      </c>
      <c r="C51" s="3">
        <v>2356</v>
      </c>
      <c r="D51" s="3">
        <f t="shared" si="4"/>
        <v>616</v>
      </c>
      <c r="E51" s="1">
        <v>0.26</v>
      </c>
      <c r="F51" s="1" t="str">
        <f t="shared" si="5"/>
        <v>Medium Discount</v>
      </c>
      <c r="G51" s="2">
        <f t="shared" si="6"/>
        <v>5</v>
      </c>
      <c r="H51">
        <v>-5</v>
      </c>
      <c r="I51">
        <v>4.8</v>
      </c>
      <c r="J51" t="str">
        <f t="shared" si="7"/>
        <v>Excellent</v>
      </c>
    </row>
    <row r="52" spans="1:10" x14ac:dyDescent="0.35">
      <c r="A52" t="s">
        <v>12</v>
      </c>
      <c r="B52" s="3">
        <v>1274</v>
      </c>
      <c r="C52" s="3">
        <v>2800</v>
      </c>
      <c r="D52" s="3">
        <f t="shared" si="4"/>
        <v>1526</v>
      </c>
      <c r="E52" s="1">
        <v>0.55000000000000004</v>
      </c>
      <c r="F52" s="1" t="str">
        <f t="shared" si="5"/>
        <v>High Discount</v>
      </c>
      <c r="G52" s="2">
        <f t="shared" si="6"/>
        <v>5</v>
      </c>
      <c r="H52">
        <v>-5</v>
      </c>
      <c r="I52">
        <v>4.8</v>
      </c>
      <c r="J52" t="str">
        <f t="shared" si="7"/>
        <v>Excellent</v>
      </c>
    </row>
    <row r="53" spans="1:10" x14ac:dyDescent="0.35">
      <c r="A53" t="s">
        <v>21</v>
      </c>
      <c r="B53" s="3">
        <v>2025</v>
      </c>
      <c r="C53" s="3">
        <v>3971</v>
      </c>
      <c r="D53" s="3">
        <f t="shared" si="4"/>
        <v>1946</v>
      </c>
      <c r="E53" s="1">
        <v>0.49</v>
      </c>
      <c r="F53" s="1" t="str">
        <f t="shared" si="5"/>
        <v>High Discount</v>
      </c>
      <c r="G53" s="2">
        <f t="shared" si="6"/>
        <v>3</v>
      </c>
      <c r="H53">
        <v>-3</v>
      </c>
      <c r="I53">
        <v>5</v>
      </c>
      <c r="J53" t="str">
        <f t="shared" si="7"/>
        <v>Excellent</v>
      </c>
    </row>
    <row r="54" spans="1:10" x14ac:dyDescent="0.35">
      <c r="A54" t="s">
        <v>19</v>
      </c>
      <c r="B54">
        <v>332</v>
      </c>
      <c r="C54">
        <v>684</v>
      </c>
      <c r="D54" s="3">
        <f t="shared" si="4"/>
        <v>352</v>
      </c>
      <c r="E54" s="1">
        <v>0.51</v>
      </c>
      <c r="F54" s="1" t="str">
        <f t="shared" si="5"/>
        <v>High Discount</v>
      </c>
      <c r="G54" s="2">
        <f t="shared" si="6"/>
        <v>2</v>
      </c>
      <c r="H54">
        <v>-2</v>
      </c>
      <c r="I54">
        <v>5</v>
      </c>
      <c r="J54" t="str">
        <f t="shared" si="7"/>
        <v>Excellent</v>
      </c>
    </row>
    <row r="55" spans="1:10" x14ac:dyDescent="0.35">
      <c r="A55" t="s">
        <v>20</v>
      </c>
      <c r="B55">
        <v>195</v>
      </c>
      <c r="C55">
        <v>360</v>
      </c>
      <c r="D55" s="3">
        <f t="shared" si="4"/>
        <v>165</v>
      </c>
      <c r="E55" s="1">
        <v>0.46</v>
      </c>
      <c r="F55" s="1" t="str">
        <f t="shared" si="5"/>
        <v>High Discount</v>
      </c>
      <c r="G55" s="2">
        <f t="shared" si="6"/>
        <v>2</v>
      </c>
      <c r="H55">
        <v>-2</v>
      </c>
      <c r="I55">
        <v>5</v>
      </c>
      <c r="J55" t="str">
        <f t="shared" si="7"/>
        <v>Excellent</v>
      </c>
    </row>
    <row r="56" spans="1:10" x14ac:dyDescent="0.35">
      <c r="A56" t="s">
        <v>40</v>
      </c>
      <c r="B56">
        <v>171</v>
      </c>
      <c r="C56">
        <v>360</v>
      </c>
      <c r="D56" s="3">
        <f t="shared" ref="D56:D87" si="8">C56-B56</f>
        <v>189</v>
      </c>
      <c r="E56" s="1">
        <v>0.53</v>
      </c>
      <c r="F56" s="1" t="str">
        <f t="shared" ref="F56:F87" si="9">IF(E56&lt;20%,"Low Discount", IF(E56&lt;=40%,"Medium Discount","High Discount"))</f>
        <v>High Discount</v>
      </c>
      <c r="G56" s="2">
        <f t="shared" ref="G56:G87" si="10">ABS(H56)</f>
        <v>2</v>
      </c>
      <c r="H56">
        <v>-2</v>
      </c>
      <c r="I56">
        <v>5</v>
      </c>
      <c r="J56" t="str">
        <f t="shared" ref="J56:J87" si="11">IF(I56="Not Provided", "N/A", IF(I56&lt;3, "Poor", IF(I56&lt;=4.4, "Average", "Excellent")))</f>
        <v>Excellent</v>
      </c>
    </row>
    <row r="57" spans="1:10" x14ac:dyDescent="0.35">
      <c r="A57" t="s">
        <v>39</v>
      </c>
      <c r="B57" s="3">
        <v>1620</v>
      </c>
      <c r="C57" s="3">
        <v>2690</v>
      </c>
      <c r="D57" s="3">
        <f t="shared" si="8"/>
        <v>1070</v>
      </c>
      <c r="E57" s="1">
        <v>0.4</v>
      </c>
      <c r="F57" s="1" t="str">
        <f t="shared" si="9"/>
        <v>Medium Discount</v>
      </c>
      <c r="G57" s="2">
        <f t="shared" si="10"/>
        <v>1</v>
      </c>
      <c r="H57">
        <v>-1</v>
      </c>
      <c r="I57">
        <v>5</v>
      </c>
      <c r="J57" t="str">
        <f t="shared" si="11"/>
        <v>Excellent</v>
      </c>
    </row>
    <row r="58" spans="1:10" x14ac:dyDescent="0.35">
      <c r="A58" t="s">
        <v>82</v>
      </c>
      <c r="B58">
        <v>979</v>
      </c>
      <c r="C58" s="3">
        <v>1920</v>
      </c>
      <c r="D58" s="3">
        <f t="shared" si="8"/>
        <v>941</v>
      </c>
      <c r="E58" s="1">
        <v>0.49</v>
      </c>
      <c r="F58" s="1" t="str">
        <f t="shared" si="9"/>
        <v>High Discount</v>
      </c>
      <c r="G58" s="2">
        <f t="shared" si="10"/>
        <v>1</v>
      </c>
      <c r="H58">
        <v>-1</v>
      </c>
      <c r="I58">
        <v>5</v>
      </c>
      <c r="J58" t="str">
        <f t="shared" si="11"/>
        <v>Excellent</v>
      </c>
    </row>
    <row r="59" spans="1:10" x14ac:dyDescent="0.35">
      <c r="A59" t="s">
        <v>102</v>
      </c>
      <c r="B59" s="3">
        <v>3640</v>
      </c>
      <c r="C59" s="3">
        <v>4588</v>
      </c>
      <c r="D59" s="3">
        <f t="shared" si="8"/>
        <v>948</v>
      </c>
      <c r="E59" s="1">
        <v>0.21</v>
      </c>
      <c r="F59" s="1" t="str">
        <f t="shared" si="9"/>
        <v>Medium Discount</v>
      </c>
      <c r="G59" s="2">
        <f t="shared" si="10"/>
        <v>1</v>
      </c>
      <c r="H59">
        <v>-1</v>
      </c>
      <c r="I59">
        <v>5</v>
      </c>
      <c r="J59" t="str">
        <f t="shared" si="11"/>
        <v>Excellent</v>
      </c>
    </row>
    <row r="60" spans="1:10" x14ac:dyDescent="0.35">
      <c r="A60" t="s">
        <v>33</v>
      </c>
      <c r="B60" s="3">
        <v>2200</v>
      </c>
      <c r="C60" s="3">
        <v>4080</v>
      </c>
      <c r="D60" s="3">
        <f t="shared" si="8"/>
        <v>1880</v>
      </c>
      <c r="E60" s="1">
        <v>0.46</v>
      </c>
      <c r="F60" s="1" t="str">
        <f t="shared" si="9"/>
        <v>High Discount</v>
      </c>
      <c r="G60" s="2">
        <f t="shared" si="10"/>
        <v>0</v>
      </c>
      <c r="H60">
        <v>0</v>
      </c>
      <c r="I60" t="s">
        <v>115</v>
      </c>
      <c r="J60" t="str">
        <f t="shared" si="11"/>
        <v>N/A</v>
      </c>
    </row>
    <row r="61" spans="1:10" x14ac:dyDescent="0.35">
      <c r="A61" t="s">
        <v>43</v>
      </c>
      <c r="B61" s="3">
        <v>2750</v>
      </c>
      <c r="C61" s="3">
        <v>4471</v>
      </c>
      <c r="D61" s="3">
        <f t="shared" si="8"/>
        <v>1721</v>
      </c>
      <c r="E61" s="1">
        <v>0.38</v>
      </c>
      <c r="F61" s="1" t="str">
        <f t="shared" si="9"/>
        <v>Medium Discount</v>
      </c>
      <c r="G61" s="2">
        <f t="shared" si="10"/>
        <v>0</v>
      </c>
      <c r="H61">
        <v>0</v>
      </c>
      <c r="I61" t="s">
        <v>115</v>
      </c>
      <c r="J61" t="str">
        <f t="shared" si="11"/>
        <v>N/A</v>
      </c>
    </row>
    <row r="62" spans="1:10" x14ac:dyDescent="0.35">
      <c r="A62" t="s">
        <v>44</v>
      </c>
      <c r="B62">
        <v>475</v>
      </c>
      <c r="C62">
        <v>931</v>
      </c>
      <c r="D62" s="3">
        <f t="shared" si="8"/>
        <v>456</v>
      </c>
      <c r="E62" s="1">
        <v>0.49</v>
      </c>
      <c r="F62" s="1" t="str">
        <f t="shared" si="9"/>
        <v>High Discount</v>
      </c>
      <c r="G62" s="2">
        <f t="shared" si="10"/>
        <v>0</v>
      </c>
      <c r="H62">
        <v>0</v>
      </c>
      <c r="I62" t="s">
        <v>115</v>
      </c>
      <c r="J62" t="str">
        <f t="shared" si="11"/>
        <v>N/A</v>
      </c>
    </row>
    <row r="63" spans="1:10" x14ac:dyDescent="0.35">
      <c r="A63" t="s">
        <v>45</v>
      </c>
      <c r="B63">
        <v>238</v>
      </c>
      <c r="C63">
        <v>476</v>
      </c>
      <c r="D63" s="3">
        <f t="shared" si="8"/>
        <v>238</v>
      </c>
      <c r="E63" s="1">
        <v>0.5</v>
      </c>
      <c r="F63" s="1" t="str">
        <f t="shared" si="9"/>
        <v>High Discount</v>
      </c>
      <c r="G63" s="2">
        <f t="shared" si="10"/>
        <v>0</v>
      </c>
      <c r="H63">
        <v>0</v>
      </c>
      <c r="I63" t="s">
        <v>115</v>
      </c>
      <c r="J63" t="str">
        <f t="shared" si="11"/>
        <v>N/A</v>
      </c>
    </row>
    <row r="64" spans="1:10" x14ac:dyDescent="0.35">
      <c r="A64" t="s">
        <v>46</v>
      </c>
      <c r="B64">
        <v>610</v>
      </c>
      <c r="C64" s="3">
        <v>1060</v>
      </c>
      <c r="D64" s="3">
        <f t="shared" si="8"/>
        <v>450</v>
      </c>
      <c r="E64" s="1">
        <v>0.42</v>
      </c>
      <c r="F64" s="1" t="str">
        <f t="shared" si="9"/>
        <v>High Discount</v>
      </c>
      <c r="G64" s="2">
        <f t="shared" si="10"/>
        <v>0</v>
      </c>
      <c r="H64">
        <v>0</v>
      </c>
      <c r="I64" t="s">
        <v>115</v>
      </c>
      <c r="J64" t="str">
        <f t="shared" si="11"/>
        <v>N/A</v>
      </c>
    </row>
    <row r="65" spans="1:10" x14ac:dyDescent="0.35">
      <c r="A65" t="s">
        <v>47</v>
      </c>
      <c r="B65" s="3">
        <v>2132</v>
      </c>
      <c r="C65" s="3">
        <v>2169</v>
      </c>
      <c r="D65" s="3">
        <f t="shared" si="8"/>
        <v>37</v>
      </c>
      <c r="E65" s="1">
        <v>0.02</v>
      </c>
      <c r="F65" s="1" t="str">
        <f t="shared" si="9"/>
        <v>Low Discount</v>
      </c>
      <c r="G65" s="2">
        <f t="shared" si="10"/>
        <v>0</v>
      </c>
      <c r="H65">
        <v>0</v>
      </c>
      <c r="I65" t="s">
        <v>115</v>
      </c>
      <c r="J65" t="str">
        <f t="shared" si="11"/>
        <v>N/A</v>
      </c>
    </row>
    <row r="66" spans="1:10" x14ac:dyDescent="0.35">
      <c r="A66" t="s">
        <v>48</v>
      </c>
      <c r="B66">
        <v>999</v>
      </c>
      <c r="C66" s="3">
        <v>2000</v>
      </c>
      <c r="D66" s="3">
        <f t="shared" si="8"/>
        <v>1001</v>
      </c>
      <c r="E66" s="1">
        <v>0.5</v>
      </c>
      <c r="F66" s="1" t="str">
        <f t="shared" si="9"/>
        <v>High Discount</v>
      </c>
      <c r="G66" s="2">
        <f t="shared" si="10"/>
        <v>0</v>
      </c>
      <c r="H66">
        <v>0</v>
      </c>
      <c r="I66" t="s">
        <v>115</v>
      </c>
      <c r="J66" t="str">
        <f t="shared" si="11"/>
        <v>N/A</v>
      </c>
    </row>
    <row r="67" spans="1:10" x14ac:dyDescent="0.35">
      <c r="A67" t="s">
        <v>49</v>
      </c>
      <c r="B67" s="3">
        <v>1190</v>
      </c>
      <c r="C67" s="3">
        <v>1785</v>
      </c>
      <c r="D67" s="3">
        <f t="shared" si="8"/>
        <v>595</v>
      </c>
      <c r="E67" s="1">
        <v>0.33</v>
      </c>
      <c r="F67" s="1" t="str">
        <f t="shared" si="9"/>
        <v>Medium Discount</v>
      </c>
      <c r="G67" s="2">
        <f t="shared" si="10"/>
        <v>0</v>
      </c>
      <c r="H67">
        <v>0</v>
      </c>
      <c r="I67" t="s">
        <v>115</v>
      </c>
      <c r="J67" t="str">
        <f t="shared" si="11"/>
        <v>N/A</v>
      </c>
    </row>
    <row r="68" spans="1:10" x14ac:dyDescent="0.35">
      <c r="A68" t="s">
        <v>50</v>
      </c>
      <c r="B68">
        <v>671</v>
      </c>
      <c r="C68" s="3">
        <v>1316</v>
      </c>
      <c r="D68" s="3">
        <f t="shared" si="8"/>
        <v>645</v>
      </c>
      <c r="E68" s="1">
        <v>0.49</v>
      </c>
      <c r="F68" s="1" t="str">
        <f t="shared" si="9"/>
        <v>High Discount</v>
      </c>
      <c r="G68" s="2">
        <f t="shared" si="10"/>
        <v>0</v>
      </c>
      <c r="H68">
        <v>0</v>
      </c>
      <c r="I68" t="s">
        <v>115</v>
      </c>
      <c r="J68" t="str">
        <f t="shared" si="11"/>
        <v>N/A</v>
      </c>
    </row>
    <row r="69" spans="1:10" x14ac:dyDescent="0.35">
      <c r="A69" t="s">
        <v>51</v>
      </c>
      <c r="B69" s="3">
        <v>1200</v>
      </c>
      <c r="C69" s="3">
        <v>1950</v>
      </c>
      <c r="D69" s="3">
        <f t="shared" si="8"/>
        <v>750</v>
      </c>
      <c r="E69" s="1">
        <v>0.38</v>
      </c>
      <c r="F69" s="1" t="str">
        <f t="shared" si="9"/>
        <v>Medium Discount</v>
      </c>
      <c r="G69" s="2">
        <f t="shared" si="10"/>
        <v>0</v>
      </c>
      <c r="H69">
        <v>0</v>
      </c>
      <c r="I69" t="s">
        <v>115</v>
      </c>
      <c r="J69" t="str">
        <f t="shared" si="11"/>
        <v>N/A</v>
      </c>
    </row>
    <row r="70" spans="1:10" x14ac:dyDescent="0.35">
      <c r="A70" t="s">
        <v>52</v>
      </c>
      <c r="B70">
        <v>199</v>
      </c>
      <c r="C70">
        <v>504</v>
      </c>
      <c r="D70" s="3">
        <f t="shared" si="8"/>
        <v>305</v>
      </c>
      <c r="E70" s="1">
        <v>0.61</v>
      </c>
      <c r="F70" s="1" t="str">
        <f t="shared" si="9"/>
        <v>High Discount</v>
      </c>
      <c r="G70" s="2">
        <f t="shared" si="10"/>
        <v>0</v>
      </c>
      <c r="H70">
        <v>0</v>
      </c>
      <c r="I70" t="s">
        <v>115</v>
      </c>
      <c r="J70" t="str">
        <f t="shared" si="11"/>
        <v>N/A</v>
      </c>
    </row>
    <row r="71" spans="1:10" x14ac:dyDescent="0.35">
      <c r="A71" t="s">
        <v>53</v>
      </c>
      <c r="B71">
        <v>299</v>
      </c>
      <c r="C71">
        <v>600</v>
      </c>
      <c r="D71" s="3">
        <f t="shared" si="8"/>
        <v>301</v>
      </c>
      <c r="E71" s="1">
        <v>0.5</v>
      </c>
      <c r="F71" s="1" t="str">
        <f t="shared" si="9"/>
        <v>High Discount</v>
      </c>
      <c r="G71" s="2">
        <f t="shared" si="10"/>
        <v>0</v>
      </c>
      <c r="H71">
        <v>0</v>
      </c>
      <c r="I71" t="s">
        <v>115</v>
      </c>
      <c r="J71" t="str">
        <f t="shared" si="11"/>
        <v>N/A</v>
      </c>
    </row>
    <row r="72" spans="1:10" x14ac:dyDescent="0.35">
      <c r="A72" t="s">
        <v>54</v>
      </c>
      <c r="B72" s="3">
        <v>1660</v>
      </c>
      <c r="C72" s="3">
        <v>1699</v>
      </c>
      <c r="D72" s="3">
        <f t="shared" si="8"/>
        <v>39</v>
      </c>
      <c r="E72" s="1">
        <v>0.02</v>
      </c>
      <c r="F72" s="1" t="str">
        <f t="shared" si="9"/>
        <v>Low Discount</v>
      </c>
      <c r="G72" s="2">
        <f t="shared" si="10"/>
        <v>0</v>
      </c>
      <c r="H72">
        <v>0</v>
      </c>
      <c r="I72" t="s">
        <v>115</v>
      </c>
      <c r="J72" t="str">
        <f t="shared" si="11"/>
        <v>N/A</v>
      </c>
    </row>
    <row r="73" spans="1:10" x14ac:dyDescent="0.35">
      <c r="A73" t="s">
        <v>55</v>
      </c>
      <c r="B73">
        <v>299</v>
      </c>
      <c r="C73">
        <v>384</v>
      </c>
      <c r="D73" s="3">
        <f t="shared" si="8"/>
        <v>85</v>
      </c>
      <c r="E73" s="1">
        <v>0.22</v>
      </c>
      <c r="F73" s="1" t="str">
        <f t="shared" si="9"/>
        <v>Medium Discount</v>
      </c>
      <c r="G73" s="2">
        <f t="shared" si="10"/>
        <v>0</v>
      </c>
      <c r="H73">
        <v>0</v>
      </c>
      <c r="I73" t="s">
        <v>115</v>
      </c>
      <c r="J73" t="str">
        <f t="shared" si="11"/>
        <v>N/A</v>
      </c>
    </row>
    <row r="74" spans="1:10" x14ac:dyDescent="0.35">
      <c r="A74" t="s">
        <v>56</v>
      </c>
      <c r="B74" s="3">
        <v>1459</v>
      </c>
      <c r="C74" s="3">
        <v>1499</v>
      </c>
      <c r="D74" s="3">
        <f t="shared" si="8"/>
        <v>40</v>
      </c>
      <c r="E74" s="1">
        <v>0.03</v>
      </c>
      <c r="F74" s="1" t="str">
        <f t="shared" si="9"/>
        <v>Low Discount</v>
      </c>
      <c r="G74" s="2">
        <f t="shared" si="10"/>
        <v>0</v>
      </c>
      <c r="H74">
        <v>0</v>
      </c>
      <c r="I74" t="s">
        <v>115</v>
      </c>
      <c r="J74" t="str">
        <f t="shared" si="11"/>
        <v>N/A</v>
      </c>
    </row>
    <row r="75" spans="1:10" x14ac:dyDescent="0.35">
      <c r="A75" t="s">
        <v>57</v>
      </c>
      <c r="B75">
        <v>799</v>
      </c>
      <c r="C75" s="3">
        <v>1343</v>
      </c>
      <c r="D75" s="3">
        <f t="shared" si="8"/>
        <v>544</v>
      </c>
      <c r="E75" s="1">
        <v>0.41</v>
      </c>
      <c r="F75" s="1" t="str">
        <f t="shared" si="9"/>
        <v>High Discount</v>
      </c>
      <c r="G75" s="2">
        <f t="shared" si="10"/>
        <v>0</v>
      </c>
      <c r="H75">
        <v>0</v>
      </c>
      <c r="I75" t="s">
        <v>115</v>
      </c>
      <c r="J75" t="str">
        <f t="shared" si="11"/>
        <v>N/A</v>
      </c>
    </row>
    <row r="76" spans="1:10" x14ac:dyDescent="0.35">
      <c r="A76" t="s">
        <v>58</v>
      </c>
      <c r="B76">
        <v>499</v>
      </c>
      <c r="C76">
        <v>900</v>
      </c>
      <c r="D76" s="3">
        <f t="shared" si="8"/>
        <v>401</v>
      </c>
      <c r="E76" s="1">
        <v>0.45</v>
      </c>
      <c r="F76" s="1" t="str">
        <f t="shared" si="9"/>
        <v>High Discount</v>
      </c>
      <c r="G76" s="2">
        <f t="shared" si="10"/>
        <v>0</v>
      </c>
      <c r="H76">
        <v>0</v>
      </c>
      <c r="I76" t="s">
        <v>115</v>
      </c>
      <c r="J76" t="str">
        <f t="shared" si="11"/>
        <v>N/A</v>
      </c>
    </row>
    <row r="77" spans="1:10" x14ac:dyDescent="0.35">
      <c r="A77" t="s">
        <v>59</v>
      </c>
      <c r="B77">
        <v>699</v>
      </c>
      <c r="C77" s="3">
        <v>1343</v>
      </c>
      <c r="D77" s="3">
        <f t="shared" si="8"/>
        <v>644</v>
      </c>
      <c r="E77" s="1">
        <v>0.48</v>
      </c>
      <c r="F77" s="1" t="str">
        <f t="shared" si="9"/>
        <v>High Discount</v>
      </c>
      <c r="G77" s="2">
        <f t="shared" si="10"/>
        <v>0</v>
      </c>
      <c r="H77">
        <v>0</v>
      </c>
      <c r="I77" t="s">
        <v>115</v>
      </c>
      <c r="J77" t="str">
        <f t="shared" si="11"/>
        <v>N/A</v>
      </c>
    </row>
    <row r="78" spans="1:10" x14ac:dyDescent="0.35">
      <c r="A78" t="s">
        <v>60</v>
      </c>
      <c r="B78">
        <v>799</v>
      </c>
      <c r="C78" s="3">
        <v>1567</v>
      </c>
      <c r="D78" s="3">
        <f t="shared" si="8"/>
        <v>768</v>
      </c>
      <c r="E78" s="1">
        <v>0.49</v>
      </c>
      <c r="F78" s="1" t="str">
        <f t="shared" si="9"/>
        <v>High Discount</v>
      </c>
      <c r="G78" s="2">
        <f t="shared" si="10"/>
        <v>0</v>
      </c>
      <c r="H78">
        <v>0</v>
      </c>
      <c r="I78" t="s">
        <v>115</v>
      </c>
      <c r="J78" t="str">
        <f t="shared" si="11"/>
        <v>N/A</v>
      </c>
    </row>
    <row r="79" spans="1:10" x14ac:dyDescent="0.35">
      <c r="A79" t="s">
        <v>61</v>
      </c>
      <c r="B79" s="3">
        <v>2799</v>
      </c>
      <c r="C79" s="3">
        <v>3810</v>
      </c>
      <c r="D79" s="3">
        <f t="shared" si="8"/>
        <v>1011</v>
      </c>
      <c r="E79" s="1">
        <v>0.27</v>
      </c>
      <c r="F79" s="1" t="str">
        <f t="shared" si="9"/>
        <v>Medium Discount</v>
      </c>
      <c r="G79" s="2">
        <f t="shared" si="10"/>
        <v>0</v>
      </c>
      <c r="H79">
        <v>0</v>
      </c>
      <c r="I79" t="s">
        <v>115</v>
      </c>
      <c r="J79" t="str">
        <f t="shared" si="11"/>
        <v>N/A</v>
      </c>
    </row>
    <row r="80" spans="1:10" x14ac:dyDescent="0.35">
      <c r="A80" t="s">
        <v>58</v>
      </c>
      <c r="B80">
        <v>399</v>
      </c>
      <c r="C80">
        <v>896</v>
      </c>
      <c r="D80" s="3">
        <f t="shared" si="8"/>
        <v>497</v>
      </c>
      <c r="E80" s="1">
        <v>0.55000000000000004</v>
      </c>
      <c r="F80" s="1" t="str">
        <f t="shared" si="9"/>
        <v>High Discount</v>
      </c>
      <c r="G80" s="2">
        <f t="shared" si="10"/>
        <v>0</v>
      </c>
      <c r="H80">
        <v>0</v>
      </c>
      <c r="I80" t="s">
        <v>115</v>
      </c>
      <c r="J80" t="str">
        <f t="shared" si="11"/>
        <v>N/A</v>
      </c>
    </row>
    <row r="81" spans="1:10" x14ac:dyDescent="0.35">
      <c r="A81" t="s">
        <v>25</v>
      </c>
      <c r="B81" s="3">
        <v>1860</v>
      </c>
      <c r="C81" s="3">
        <v>3220</v>
      </c>
      <c r="D81" s="3">
        <f t="shared" si="8"/>
        <v>1360</v>
      </c>
      <c r="E81" s="1">
        <v>0.42</v>
      </c>
      <c r="F81" s="1" t="str">
        <f t="shared" si="9"/>
        <v>High Discount</v>
      </c>
      <c r="G81" s="2">
        <f t="shared" si="10"/>
        <v>0</v>
      </c>
      <c r="H81">
        <v>0</v>
      </c>
      <c r="I81" t="s">
        <v>115</v>
      </c>
      <c r="J81" t="str">
        <f t="shared" si="11"/>
        <v>N/A</v>
      </c>
    </row>
    <row r="82" spans="1:10" x14ac:dyDescent="0.35">
      <c r="A82" t="s">
        <v>77</v>
      </c>
      <c r="B82">
        <v>790</v>
      </c>
      <c r="C82" s="3">
        <v>1485</v>
      </c>
      <c r="D82" s="3">
        <f t="shared" si="8"/>
        <v>695</v>
      </c>
      <c r="E82" s="1">
        <v>0.47</v>
      </c>
      <c r="F82" s="1" t="str">
        <f t="shared" si="9"/>
        <v>High Discount</v>
      </c>
      <c r="G82" s="2">
        <f t="shared" si="10"/>
        <v>0</v>
      </c>
      <c r="H82">
        <v>0</v>
      </c>
      <c r="I82" t="s">
        <v>115</v>
      </c>
      <c r="J82" t="str">
        <f t="shared" si="11"/>
        <v>N/A</v>
      </c>
    </row>
    <row r="83" spans="1:10" x14ac:dyDescent="0.35">
      <c r="A83" t="s">
        <v>78</v>
      </c>
      <c r="B83">
        <v>690</v>
      </c>
      <c r="C83" s="3">
        <v>1200</v>
      </c>
      <c r="D83" s="3">
        <f t="shared" si="8"/>
        <v>510</v>
      </c>
      <c r="E83" s="1">
        <v>0.43</v>
      </c>
      <c r="F83" s="1" t="str">
        <f t="shared" si="9"/>
        <v>High Discount</v>
      </c>
      <c r="G83" s="2">
        <f t="shared" si="10"/>
        <v>0</v>
      </c>
      <c r="H83">
        <v>0</v>
      </c>
      <c r="I83" t="s">
        <v>115</v>
      </c>
      <c r="J83" t="str">
        <f t="shared" si="11"/>
        <v>N/A</v>
      </c>
    </row>
    <row r="84" spans="1:10" x14ac:dyDescent="0.35">
      <c r="A84" t="s">
        <v>79</v>
      </c>
      <c r="B84" s="3">
        <v>1732</v>
      </c>
      <c r="C84" s="3">
        <v>1799</v>
      </c>
      <c r="D84" s="3">
        <f t="shared" si="8"/>
        <v>67</v>
      </c>
      <c r="E84" s="1">
        <v>0.04</v>
      </c>
      <c r="F84" s="1" t="str">
        <f t="shared" si="9"/>
        <v>Low Discount</v>
      </c>
      <c r="G84" s="2">
        <f t="shared" si="10"/>
        <v>0</v>
      </c>
      <c r="H84">
        <v>0</v>
      </c>
      <c r="I84" t="s">
        <v>115</v>
      </c>
      <c r="J84" t="str">
        <f t="shared" si="11"/>
        <v>N/A</v>
      </c>
    </row>
    <row r="85" spans="1:10" x14ac:dyDescent="0.35">
      <c r="A85" t="s">
        <v>80</v>
      </c>
      <c r="B85">
        <v>230</v>
      </c>
      <c r="C85">
        <v>450</v>
      </c>
      <c r="D85" s="3">
        <f t="shared" si="8"/>
        <v>220</v>
      </c>
      <c r="E85" s="1">
        <v>0.49</v>
      </c>
      <c r="F85" s="1" t="str">
        <f t="shared" si="9"/>
        <v>High Discount</v>
      </c>
      <c r="G85" s="2">
        <f t="shared" si="10"/>
        <v>0</v>
      </c>
      <c r="H85">
        <v>0</v>
      </c>
      <c r="I85" t="s">
        <v>115</v>
      </c>
      <c r="J85" t="str">
        <f t="shared" si="11"/>
        <v>N/A</v>
      </c>
    </row>
    <row r="86" spans="1:10" x14ac:dyDescent="0.35">
      <c r="A86" t="s">
        <v>83</v>
      </c>
      <c r="B86" s="3">
        <v>1460</v>
      </c>
      <c r="C86" s="3">
        <v>2290</v>
      </c>
      <c r="D86" s="3">
        <f t="shared" si="8"/>
        <v>830</v>
      </c>
      <c r="E86" s="1">
        <v>0.36</v>
      </c>
      <c r="F86" s="1" t="str">
        <f t="shared" si="9"/>
        <v>Medium Discount</v>
      </c>
      <c r="G86" s="2">
        <f t="shared" si="10"/>
        <v>0</v>
      </c>
      <c r="H86">
        <v>0</v>
      </c>
      <c r="I86" t="s">
        <v>115</v>
      </c>
      <c r="J86" t="str">
        <f t="shared" si="11"/>
        <v>N/A</v>
      </c>
    </row>
    <row r="87" spans="1:10" x14ac:dyDescent="0.35">
      <c r="A87" t="s">
        <v>84</v>
      </c>
      <c r="B87" s="3">
        <v>1666</v>
      </c>
      <c r="C87" s="3">
        <v>1699</v>
      </c>
      <c r="D87" s="3">
        <f t="shared" si="8"/>
        <v>33</v>
      </c>
      <c r="E87" s="1">
        <v>0.02</v>
      </c>
      <c r="F87" s="1" t="str">
        <f t="shared" si="9"/>
        <v>Low Discount</v>
      </c>
      <c r="G87" s="2">
        <f t="shared" si="10"/>
        <v>0</v>
      </c>
      <c r="H87">
        <v>0</v>
      </c>
      <c r="I87" t="s">
        <v>115</v>
      </c>
      <c r="J87" t="str">
        <f t="shared" si="11"/>
        <v>N/A</v>
      </c>
    </row>
    <row r="88" spans="1:10" x14ac:dyDescent="0.35">
      <c r="A88" t="s">
        <v>52</v>
      </c>
      <c r="B88">
        <v>176</v>
      </c>
      <c r="C88">
        <v>345</v>
      </c>
      <c r="D88" s="3">
        <f t="shared" ref="D88:D114" si="12">C88-B88</f>
        <v>169</v>
      </c>
      <c r="E88" s="1">
        <v>0.49</v>
      </c>
      <c r="F88" s="1" t="str">
        <f t="shared" ref="F88:F114" si="13">IF(E88&lt;20%,"Low Discount", IF(E88&lt;=40%,"Medium Discount","High Discount"))</f>
        <v>High Discount</v>
      </c>
      <c r="G88" s="2">
        <f t="shared" ref="G88:G114" si="14">ABS(H88)</f>
        <v>0</v>
      </c>
      <c r="H88">
        <v>0</v>
      </c>
      <c r="I88" t="s">
        <v>115</v>
      </c>
      <c r="J88" t="str">
        <f t="shared" ref="J88:J114" si="15">IF(I88="Not Provided", "N/A", IF(I88&lt;3, "Poor", IF(I88&lt;=4.4, "Average", "Excellent")))</f>
        <v>N/A</v>
      </c>
    </row>
    <row r="89" spans="1:10" x14ac:dyDescent="0.35">
      <c r="A89" t="s">
        <v>86</v>
      </c>
      <c r="B89" s="3">
        <v>1466</v>
      </c>
      <c r="C89" s="3">
        <v>1699</v>
      </c>
      <c r="D89" s="3">
        <f t="shared" si="12"/>
        <v>233</v>
      </c>
      <c r="E89" s="1">
        <v>0.14000000000000001</v>
      </c>
      <c r="F89" s="1" t="str">
        <f t="shared" si="13"/>
        <v>Low Discount</v>
      </c>
      <c r="G89" s="2">
        <f t="shared" si="14"/>
        <v>0</v>
      </c>
      <c r="H89">
        <v>0</v>
      </c>
      <c r="I89" t="s">
        <v>115</v>
      </c>
      <c r="J89" t="str">
        <f t="shared" si="15"/>
        <v>N/A</v>
      </c>
    </row>
    <row r="90" spans="1:10" x14ac:dyDescent="0.35">
      <c r="A90" t="s">
        <v>87</v>
      </c>
      <c r="B90">
        <v>274</v>
      </c>
      <c r="C90">
        <v>537</v>
      </c>
      <c r="D90" s="3">
        <f t="shared" si="12"/>
        <v>263</v>
      </c>
      <c r="E90" s="1">
        <v>0.49</v>
      </c>
      <c r="F90" s="1" t="str">
        <f t="shared" si="13"/>
        <v>High Discount</v>
      </c>
      <c r="G90" s="2">
        <f t="shared" si="14"/>
        <v>0</v>
      </c>
      <c r="H90">
        <v>0</v>
      </c>
      <c r="I90" t="s">
        <v>115</v>
      </c>
      <c r="J90" t="str">
        <f t="shared" si="15"/>
        <v>N/A</v>
      </c>
    </row>
    <row r="91" spans="1:10" x14ac:dyDescent="0.35">
      <c r="A91" t="s">
        <v>88</v>
      </c>
      <c r="B91">
        <v>799</v>
      </c>
      <c r="C91">
        <v>900</v>
      </c>
      <c r="D91" s="3">
        <f t="shared" si="12"/>
        <v>101</v>
      </c>
      <c r="E91" s="1">
        <v>0.11</v>
      </c>
      <c r="F91" s="1" t="str">
        <f t="shared" si="13"/>
        <v>Low Discount</v>
      </c>
      <c r="G91" s="2">
        <f t="shared" si="14"/>
        <v>0</v>
      </c>
      <c r="H91">
        <v>0</v>
      </c>
      <c r="I91" t="s">
        <v>115</v>
      </c>
      <c r="J91" t="str">
        <f t="shared" si="15"/>
        <v>N/A</v>
      </c>
    </row>
    <row r="92" spans="1:10" x14ac:dyDescent="0.35">
      <c r="A92" t="s">
        <v>60</v>
      </c>
      <c r="B92">
        <v>657</v>
      </c>
      <c r="C92" s="3">
        <v>1288</v>
      </c>
      <c r="D92" s="3">
        <f t="shared" si="12"/>
        <v>631</v>
      </c>
      <c r="E92" s="1">
        <v>0.49</v>
      </c>
      <c r="F92" s="1" t="str">
        <f t="shared" si="13"/>
        <v>High Discount</v>
      </c>
      <c r="G92" s="2">
        <f t="shared" si="14"/>
        <v>0</v>
      </c>
      <c r="H92">
        <v>0</v>
      </c>
      <c r="I92" t="s">
        <v>115</v>
      </c>
      <c r="J92" t="str">
        <f t="shared" si="15"/>
        <v>N/A</v>
      </c>
    </row>
    <row r="93" spans="1:10" x14ac:dyDescent="0.35">
      <c r="A93" t="s">
        <v>89</v>
      </c>
      <c r="B93" s="3">
        <v>1468</v>
      </c>
      <c r="C93" s="3">
        <v>1699</v>
      </c>
      <c r="D93" s="3">
        <f t="shared" si="12"/>
        <v>231</v>
      </c>
      <c r="E93" s="1">
        <v>0.14000000000000001</v>
      </c>
      <c r="F93" s="1" t="str">
        <f t="shared" si="13"/>
        <v>Low Discount</v>
      </c>
      <c r="G93" s="2">
        <f t="shared" si="14"/>
        <v>0</v>
      </c>
      <c r="H93">
        <v>0</v>
      </c>
      <c r="I93" t="s">
        <v>115</v>
      </c>
      <c r="J93" t="str">
        <f t="shared" si="15"/>
        <v>N/A</v>
      </c>
    </row>
    <row r="94" spans="1:10" x14ac:dyDescent="0.35">
      <c r="A94" t="s">
        <v>90</v>
      </c>
      <c r="B94">
        <v>630</v>
      </c>
      <c r="C94" s="3">
        <v>1100</v>
      </c>
      <c r="D94" s="3">
        <f t="shared" si="12"/>
        <v>470</v>
      </c>
      <c r="E94" s="1">
        <v>0.43</v>
      </c>
      <c r="F94" s="1" t="str">
        <f t="shared" si="13"/>
        <v>High Discount</v>
      </c>
      <c r="G94" s="2">
        <f t="shared" si="14"/>
        <v>0</v>
      </c>
      <c r="H94">
        <v>0</v>
      </c>
      <c r="I94" t="s">
        <v>115</v>
      </c>
      <c r="J94" t="str">
        <f t="shared" si="15"/>
        <v>N/A</v>
      </c>
    </row>
    <row r="95" spans="1:10" x14ac:dyDescent="0.35">
      <c r="A95" t="s">
        <v>91</v>
      </c>
      <c r="B95">
        <v>850</v>
      </c>
      <c r="C95" s="3">
        <v>1700</v>
      </c>
      <c r="D95" s="3">
        <f t="shared" si="12"/>
        <v>850</v>
      </c>
      <c r="E95" s="1">
        <v>0.5</v>
      </c>
      <c r="F95" s="1" t="str">
        <f t="shared" si="13"/>
        <v>High Discount</v>
      </c>
      <c r="G95" s="2">
        <f t="shared" si="14"/>
        <v>0</v>
      </c>
      <c r="H95">
        <v>0</v>
      </c>
      <c r="I95" t="s">
        <v>115</v>
      </c>
      <c r="J95" t="str">
        <f t="shared" si="15"/>
        <v>N/A</v>
      </c>
    </row>
    <row r="96" spans="1:10" x14ac:dyDescent="0.35">
      <c r="A96" t="s">
        <v>92</v>
      </c>
      <c r="B96" s="3">
        <v>1300</v>
      </c>
      <c r="C96" s="3">
        <v>2500</v>
      </c>
      <c r="D96" s="3">
        <f t="shared" si="12"/>
        <v>1200</v>
      </c>
      <c r="E96" s="1">
        <v>0.48</v>
      </c>
      <c r="F96" s="1" t="str">
        <f t="shared" si="13"/>
        <v>High Discount</v>
      </c>
      <c r="G96" s="2">
        <f t="shared" si="14"/>
        <v>0</v>
      </c>
      <c r="H96">
        <v>0</v>
      </c>
      <c r="I96" t="s">
        <v>115</v>
      </c>
      <c r="J96" t="str">
        <f t="shared" si="15"/>
        <v>N/A</v>
      </c>
    </row>
    <row r="97" spans="1:10" x14ac:dyDescent="0.35">
      <c r="A97" t="s">
        <v>93</v>
      </c>
      <c r="B97">
        <v>105</v>
      </c>
      <c r="C97">
        <v>200</v>
      </c>
      <c r="D97" s="3">
        <f t="shared" si="12"/>
        <v>95</v>
      </c>
      <c r="E97" s="1">
        <v>0.48</v>
      </c>
      <c r="F97" s="1" t="str">
        <f t="shared" si="13"/>
        <v>High Discount</v>
      </c>
      <c r="G97" s="2">
        <f t="shared" si="14"/>
        <v>0</v>
      </c>
      <c r="H97">
        <v>0</v>
      </c>
      <c r="I97" t="s">
        <v>115</v>
      </c>
      <c r="J97" t="str">
        <f t="shared" si="15"/>
        <v>N/A</v>
      </c>
    </row>
    <row r="98" spans="1:10" x14ac:dyDescent="0.35">
      <c r="A98" t="s">
        <v>94</v>
      </c>
      <c r="B98">
        <v>899</v>
      </c>
      <c r="C98" s="3">
        <v>1699</v>
      </c>
      <c r="D98" s="3">
        <f t="shared" si="12"/>
        <v>800</v>
      </c>
      <c r="E98" s="1">
        <v>0.47</v>
      </c>
      <c r="F98" s="1" t="str">
        <f t="shared" si="13"/>
        <v>High Discount</v>
      </c>
      <c r="G98" s="2">
        <f t="shared" si="14"/>
        <v>0</v>
      </c>
      <c r="H98">
        <v>0</v>
      </c>
      <c r="I98" t="s">
        <v>115</v>
      </c>
      <c r="J98" t="str">
        <f t="shared" si="15"/>
        <v>N/A</v>
      </c>
    </row>
    <row r="99" spans="1:10" x14ac:dyDescent="0.35">
      <c r="A99" t="s">
        <v>95</v>
      </c>
      <c r="B99" s="3">
        <v>1200</v>
      </c>
      <c r="C99" s="3">
        <v>2400</v>
      </c>
      <c r="D99" s="3">
        <f t="shared" si="12"/>
        <v>1200</v>
      </c>
      <c r="E99" s="1">
        <v>0.5</v>
      </c>
      <c r="F99" s="1" t="str">
        <f t="shared" si="13"/>
        <v>High Discount</v>
      </c>
      <c r="G99" s="2">
        <f t="shared" si="14"/>
        <v>0</v>
      </c>
      <c r="H99">
        <v>0</v>
      </c>
      <c r="I99" t="s">
        <v>115</v>
      </c>
      <c r="J99" t="str">
        <f t="shared" si="15"/>
        <v>N/A</v>
      </c>
    </row>
    <row r="100" spans="1:10" x14ac:dyDescent="0.35">
      <c r="A100" t="s">
        <v>96</v>
      </c>
      <c r="B100" s="3">
        <v>1526</v>
      </c>
      <c r="C100" s="3">
        <v>1660</v>
      </c>
      <c r="D100" s="3">
        <f t="shared" si="12"/>
        <v>134</v>
      </c>
      <c r="E100" s="1">
        <v>0.08</v>
      </c>
      <c r="F100" s="1" t="str">
        <f t="shared" si="13"/>
        <v>Low Discount</v>
      </c>
      <c r="G100" s="2">
        <f t="shared" si="14"/>
        <v>0</v>
      </c>
      <c r="H100">
        <v>0</v>
      </c>
      <c r="I100" t="s">
        <v>115</v>
      </c>
      <c r="J100" t="str">
        <f t="shared" si="15"/>
        <v>N/A</v>
      </c>
    </row>
    <row r="101" spans="1:10" x14ac:dyDescent="0.35">
      <c r="A101" t="s">
        <v>97</v>
      </c>
      <c r="B101" s="3">
        <v>1462</v>
      </c>
      <c r="C101" s="3">
        <v>1499</v>
      </c>
      <c r="D101" s="3">
        <f t="shared" si="12"/>
        <v>37</v>
      </c>
      <c r="E101" s="1">
        <v>0.02</v>
      </c>
      <c r="F101" s="1" t="str">
        <f t="shared" si="13"/>
        <v>Low Discount</v>
      </c>
      <c r="G101" s="2">
        <f t="shared" si="14"/>
        <v>0</v>
      </c>
      <c r="H101">
        <v>0</v>
      </c>
      <c r="I101" t="s">
        <v>115</v>
      </c>
      <c r="J101" t="str">
        <f t="shared" si="15"/>
        <v>N/A</v>
      </c>
    </row>
    <row r="102" spans="1:10" x14ac:dyDescent="0.35">
      <c r="A102" t="s">
        <v>98</v>
      </c>
      <c r="B102">
        <v>248</v>
      </c>
      <c r="C102">
        <v>486</v>
      </c>
      <c r="D102" s="3">
        <f t="shared" si="12"/>
        <v>238</v>
      </c>
      <c r="E102" s="1">
        <v>0.49</v>
      </c>
      <c r="F102" s="1" t="str">
        <f t="shared" si="13"/>
        <v>High Discount</v>
      </c>
      <c r="G102" s="2">
        <f t="shared" si="14"/>
        <v>0</v>
      </c>
      <c r="H102">
        <v>0</v>
      </c>
      <c r="I102" t="s">
        <v>115</v>
      </c>
      <c r="J102" t="str">
        <f t="shared" si="15"/>
        <v>N/A</v>
      </c>
    </row>
    <row r="103" spans="1:10" x14ac:dyDescent="0.35">
      <c r="A103" t="s">
        <v>99</v>
      </c>
      <c r="B103" s="3">
        <v>3546</v>
      </c>
      <c r="C103" s="3">
        <v>3699</v>
      </c>
      <c r="D103" s="3">
        <f t="shared" si="12"/>
        <v>153</v>
      </c>
      <c r="E103" s="1">
        <v>0.04</v>
      </c>
      <c r="F103" s="1" t="str">
        <f t="shared" si="13"/>
        <v>Low Discount</v>
      </c>
      <c r="G103" s="2">
        <f t="shared" si="14"/>
        <v>0</v>
      </c>
      <c r="H103">
        <v>0</v>
      </c>
      <c r="I103" t="s">
        <v>115</v>
      </c>
      <c r="J103" t="str">
        <f t="shared" si="15"/>
        <v>N/A</v>
      </c>
    </row>
    <row r="104" spans="1:10" x14ac:dyDescent="0.35">
      <c r="A104" t="s">
        <v>100</v>
      </c>
      <c r="B104">
        <v>525</v>
      </c>
      <c r="C104" s="3">
        <v>1029</v>
      </c>
      <c r="D104" s="3">
        <f t="shared" si="12"/>
        <v>504</v>
      </c>
      <c r="E104" s="1">
        <v>0.49</v>
      </c>
      <c r="F104" s="1" t="str">
        <f t="shared" si="13"/>
        <v>High Discount</v>
      </c>
      <c r="G104" s="2">
        <f t="shared" si="14"/>
        <v>0</v>
      </c>
      <c r="H104">
        <v>0</v>
      </c>
      <c r="I104" t="s">
        <v>115</v>
      </c>
      <c r="J104" t="str">
        <f t="shared" si="15"/>
        <v>N/A</v>
      </c>
    </row>
    <row r="105" spans="1:10" x14ac:dyDescent="0.35">
      <c r="A105" t="s">
        <v>101</v>
      </c>
      <c r="B105" s="3">
        <v>1080</v>
      </c>
      <c r="C105" s="3">
        <v>1874</v>
      </c>
      <c r="D105" s="3">
        <f t="shared" si="12"/>
        <v>794</v>
      </c>
      <c r="E105" s="1">
        <v>0.42</v>
      </c>
      <c r="F105" s="1" t="str">
        <f t="shared" si="13"/>
        <v>High Discount</v>
      </c>
      <c r="G105" s="2">
        <f t="shared" si="14"/>
        <v>0</v>
      </c>
      <c r="H105">
        <v>0</v>
      </c>
      <c r="I105" t="s">
        <v>115</v>
      </c>
      <c r="J105" t="str">
        <f t="shared" si="15"/>
        <v>N/A</v>
      </c>
    </row>
    <row r="106" spans="1:10" x14ac:dyDescent="0.35">
      <c r="A106" t="s">
        <v>103</v>
      </c>
      <c r="B106" s="3">
        <v>1420</v>
      </c>
      <c r="C106" s="3">
        <v>2420</v>
      </c>
      <c r="D106" s="3">
        <f t="shared" si="12"/>
        <v>1000</v>
      </c>
      <c r="E106" s="1">
        <v>0.41</v>
      </c>
      <c r="F106" s="1" t="str">
        <f t="shared" si="13"/>
        <v>High Discount</v>
      </c>
      <c r="G106" s="2">
        <f t="shared" si="14"/>
        <v>0</v>
      </c>
      <c r="H106">
        <v>0</v>
      </c>
      <c r="I106" t="s">
        <v>115</v>
      </c>
      <c r="J106" t="str">
        <f t="shared" si="15"/>
        <v>N/A</v>
      </c>
    </row>
    <row r="107" spans="1:10" x14ac:dyDescent="0.35">
      <c r="A107" t="s">
        <v>104</v>
      </c>
      <c r="B107" s="3">
        <v>1875</v>
      </c>
      <c r="C107" s="3">
        <v>1899</v>
      </c>
      <c r="D107" s="3">
        <f t="shared" si="12"/>
        <v>24</v>
      </c>
      <c r="E107" s="1">
        <v>0.01</v>
      </c>
      <c r="F107" s="1" t="str">
        <f t="shared" si="13"/>
        <v>Low Discount</v>
      </c>
      <c r="G107" s="2">
        <f t="shared" si="14"/>
        <v>0</v>
      </c>
      <c r="H107">
        <v>0</v>
      </c>
      <c r="I107" t="s">
        <v>115</v>
      </c>
      <c r="J107" t="str">
        <f t="shared" si="15"/>
        <v>N/A</v>
      </c>
    </row>
    <row r="108" spans="1:10" x14ac:dyDescent="0.35">
      <c r="A108" t="s">
        <v>105</v>
      </c>
      <c r="B108">
        <v>198</v>
      </c>
      <c r="C108">
        <v>260</v>
      </c>
      <c r="D108" s="3">
        <f t="shared" si="12"/>
        <v>62</v>
      </c>
      <c r="E108" s="1">
        <v>0.24</v>
      </c>
      <c r="F108" s="1" t="str">
        <f t="shared" si="13"/>
        <v>Medium Discount</v>
      </c>
      <c r="G108" s="2">
        <f t="shared" si="14"/>
        <v>0</v>
      </c>
      <c r="H108">
        <v>0</v>
      </c>
      <c r="I108" t="s">
        <v>115</v>
      </c>
      <c r="J108" t="str">
        <f t="shared" si="15"/>
        <v>N/A</v>
      </c>
    </row>
    <row r="109" spans="1:10" x14ac:dyDescent="0.35">
      <c r="A109" t="s">
        <v>106</v>
      </c>
      <c r="B109" s="3">
        <v>1150</v>
      </c>
      <c r="C109" s="3">
        <v>1737</v>
      </c>
      <c r="D109" s="3">
        <f t="shared" si="12"/>
        <v>587</v>
      </c>
      <c r="E109" s="1">
        <v>0.34</v>
      </c>
      <c r="F109" s="1" t="str">
        <f t="shared" si="13"/>
        <v>Medium Discount</v>
      </c>
      <c r="G109" s="2">
        <f t="shared" si="14"/>
        <v>0</v>
      </c>
      <c r="H109">
        <v>0</v>
      </c>
      <c r="I109" t="s">
        <v>115</v>
      </c>
      <c r="J109" t="str">
        <f t="shared" si="15"/>
        <v>N/A</v>
      </c>
    </row>
    <row r="110" spans="1:10" x14ac:dyDescent="0.35">
      <c r="A110" t="s">
        <v>107</v>
      </c>
      <c r="B110" s="3">
        <v>1190</v>
      </c>
      <c r="C110" s="3">
        <v>1810</v>
      </c>
      <c r="D110" s="3">
        <f t="shared" si="12"/>
        <v>620</v>
      </c>
      <c r="E110" s="1">
        <v>0.34</v>
      </c>
      <c r="F110" s="1" t="str">
        <f t="shared" si="13"/>
        <v>Medium Discount</v>
      </c>
      <c r="G110" s="2">
        <f t="shared" si="14"/>
        <v>0</v>
      </c>
      <c r="H110">
        <v>0</v>
      </c>
      <c r="I110" t="s">
        <v>115</v>
      </c>
      <c r="J110" t="str">
        <f t="shared" si="15"/>
        <v>N/A</v>
      </c>
    </row>
    <row r="111" spans="1:10" x14ac:dyDescent="0.35">
      <c r="A111" t="s">
        <v>108</v>
      </c>
      <c r="B111" s="3">
        <v>1658</v>
      </c>
      <c r="C111" s="3">
        <v>1699</v>
      </c>
      <c r="D111" s="3">
        <f t="shared" si="12"/>
        <v>41</v>
      </c>
      <c r="E111" s="1">
        <v>0.02</v>
      </c>
      <c r="F111" s="1" t="str">
        <f t="shared" si="13"/>
        <v>Low Discount</v>
      </c>
      <c r="G111" s="2">
        <f t="shared" si="14"/>
        <v>0</v>
      </c>
      <c r="H111">
        <v>0</v>
      </c>
      <c r="I111" t="s">
        <v>115</v>
      </c>
      <c r="J111" t="str">
        <f t="shared" si="15"/>
        <v>N/A</v>
      </c>
    </row>
    <row r="112" spans="1:10" x14ac:dyDescent="0.35">
      <c r="A112" t="s">
        <v>109</v>
      </c>
      <c r="B112" s="3">
        <v>1768</v>
      </c>
      <c r="C112" s="3">
        <v>1799</v>
      </c>
      <c r="D112" s="3">
        <f t="shared" si="12"/>
        <v>31</v>
      </c>
      <c r="E112" s="1">
        <v>0.02</v>
      </c>
      <c r="F112" s="1" t="str">
        <f t="shared" si="13"/>
        <v>Low Discount</v>
      </c>
      <c r="G112" s="2">
        <f t="shared" si="14"/>
        <v>0</v>
      </c>
      <c r="H112">
        <v>0</v>
      </c>
      <c r="I112" t="s">
        <v>115</v>
      </c>
      <c r="J112" t="str">
        <f t="shared" si="15"/>
        <v>N/A</v>
      </c>
    </row>
    <row r="113" spans="1:10" x14ac:dyDescent="0.35">
      <c r="A113" t="s">
        <v>110</v>
      </c>
      <c r="B113">
        <v>199</v>
      </c>
      <c r="C113">
        <v>553</v>
      </c>
      <c r="D113" s="3">
        <f t="shared" si="12"/>
        <v>354</v>
      </c>
      <c r="E113" s="1">
        <v>0.64</v>
      </c>
      <c r="F113" s="1" t="str">
        <f t="shared" si="13"/>
        <v>High Discount</v>
      </c>
      <c r="G113" s="2">
        <f t="shared" si="14"/>
        <v>0</v>
      </c>
      <c r="H113">
        <v>0</v>
      </c>
      <c r="I113" t="s">
        <v>115</v>
      </c>
      <c r="J113" t="str">
        <f t="shared" si="15"/>
        <v>N/A</v>
      </c>
    </row>
    <row r="114" spans="1:10" x14ac:dyDescent="0.35">
      <c r="A114" t="s">
        <v>112</v>
      </c>
      <c r="B114">
        <v>169</v>
      </c>
      <c r="C114">
        <v>320</v>
      </c>
      <c r="D114" s="3">
        <f t="shared" si="12"/>
        <v>151</v>
      </c>
      <c r="E114" s="1">
        <v>0.47</v>
      </c>
      <c r="F114" s="1" t="str">
        <f t="shared" si="13"/>
        <v>High Discount</v>
      </c>
      <c r="G114" s="2">
        <f t="shared" si="14"/>
        <v>0</v>
      </c>
      <c r="H114">
        <v>0</v>
      </c>
      <c r="I114" t="s">
        <v>115</v>
      </c>
      <c r="J114" t="str">
        <f t="shared" si="15"/>
        <v>N/A</v>
      </c>
    </row>
    <row r="115" spans="1:10" x14ac:dyDescent="0.35">
      <c r="B115">
        <f>MAX(B2:B113)</f>
        <v>3750</v>
      </c>
    </row>
    <row r="116" spans="1:10" x14ac:dyDescent="0.35">
      <c r="B116">
        <f>MIN(B2:B113)</f>
        <v>38</v>
      </c>
    </row>
  </sheetData>
  <sortState xmlns:xlrd2="http://schemas.microsoft.com/office/spreadsheetml/2017/richdata2" ref="A10:J75">
    <sortCondition descending="1" ref="D2:D1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11FE-694F-43E3-969A-678FD957780C}">
  <dimension ref="A3:B5"/>
  <sheetViews>
    <sheetView workbookViewId="0">
      <selection activeCell="B4" sqref="B4"/>
    </sheetView>
  </sheetViews>
  <sheetFormatPr defaultRowHeight="14.5" x14ac:dyDescent="0.35"/>
  <cols>
    <col min="1" max="1" width="12.36328125" bestFit="1" customWidth="1"/>
    <col min="2" max="2" width="15.26953125" bestFit="1" customWidth="1"/>
  </cols>
  <sheetData>
    <row r="3" spans="1:2" x14ac:dyDescent="0.35">
      <c r="A3" s="5" t="s">
        <v>119</v>
      </c>
      <c r="B3" t="s">
        <v>122</v>
      </c>
    </row>
    <row r="4" spans="1:2" x14ac:dyDescent="0.35">
      <c r="A4" s="6" t="s">
        <v>120</v>
      </c>
      <c r="B4">
        <v>9</v>
      </c>
    </row>
    <row r="5" spans="1:2" x14ac:dyDescent="0.35">
      <c r="A5" s="6" t="s">
        <v>121</v>
      </c>
      <c r="B5">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9A35-AF74-41EA-BE84-50246B773A21}">
  <dimension ref="A3:B7"/>
  <sheetViews>
    <sheetView workbookViewId="0">
      <selection activeCell="F20" sqref="F20"/>
    </sheetView>
  </sheetViews>
  <sheetFormatPr defaultRowHeight="14.5" x14ac:dyDescent="0.35"/>
  <cols>
    <col min="1" max="1" width="12.36328125" bestFit="1" customWidth="1"/>
    <col min="2" max="2" width="19.453125" bestFit="1" customWidth="1"/>
  </cols>
  <sheetData>
    <row r="3" spans="1:2" x14ac:dyDescent="0.35">
      <c r="A3" s="5" t="s">
        <v>119</v>
      </c>
      <c r="B3" t="s">
        <v>124</v>
      </c>
    </row>
    <row r="4" spans="1:2" x14ac:dyDescent="0.35">
      <c r="A4" s="6" t="s">
        <v>125</v>
      </c>
      <c r="B4">
        <v>1</v>
      </c>
    </row>
    <row r="5" spans="1:2" x14ac:dyDescent="0.35">
      <c r="A5" s="6" t="s">
        <v>126</v>
      </c>
      <c r="B5">
        <v>3</v>
      </c>
    </row>
    <row r="6" spans="1:2" x14ac:dyDescent="0.35">
      <c r="A6" s="6" t="s">
        <v>127</v>
      </c>
      <c r="B6">
        <v>5</v>
      </c>
    </row>
    <row r="7" spans="1:2" x14ac:dyDescent="0.35">
      <c r="A7" s="6" t="s">
        <v>121</v>
      </c>
      <c r="B7">
        <v>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EB43-A39F-4597-9DB7-0319F23EB429}">
  <dimension ref="A3:B10"/>
  <sheetViews>
    <sheetView workbookViewId="0">
      <selection activeCell="L11" sqref="L11"/>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v>3</v>
      </c>
      <c r="B4">
        <v>10</v>
      </c>
    </row>
    <row r="5" spans="1:2" x14ac:dyDescent="0.35">
      <c r="A5" s="6">
        <v>3.8</v>
      </c>
      <c r="B5">
        <v>13</v>
      </c>
    </row>
    <row r="6" spans="1:2" x14ac:dyDescent="0.35">
      <c r="A6" s="6">
        <v>4</v>
      </c>
      <c r="B6">
        <v>8</v>
      </c>
    </row>
    <row r="7" spans="1:2" x14ac:dyDescent="0.35">
      <c r="A7" s="6">
        <v>4.0999999999999996</v>
      </c>
      <c r="B7">
        <v>32</v>
      </c>
    </row>
    <row r="8" spans="1:2" x14ac:dyDescent="0.35">
      <c r="A8" s="6">
        <v>4.2</v>
      </c>
      <c r="B8">
        <v>9</v>
      </c>
    </row>
    <row r="9" spans="1:2" x14ac:dyDescent="0.35">
      <c r="A9" s="6">
        <v>4.4000000000000004</v>
      </c>
      <c r="B9">
        <v>14</v>
      </c>
    </row>
    <row r="10" spans="1:2" x14ac:dyDescent="0.35">
      <c r="A10" s="6" t="s">
        <v>121</v>
      </c>
      <c r="B10">
        <v>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972B-E302-468A-9CA6-3317D290545B}">
  <dimension ref="A3:B9"/>
  <sheetViews>
    <sheetView workbookViewId="0">
      <selection activeCell="P6" sqref="P6"/>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t="s">
        <v>128</v>
      </c>
      <c r="B4">
        <v>12</v>
      </c>
    </row>
    <row r="5" spans="1:2" x14ac:dyDescent="0.35">
      <c r="A5" s="6" t="s">
        <v>129</v>
      </c>
      <c r="B5">
        <v>22</v>
      </c>
    </row>
    <row r="6" spans="1:2" x14ac:dyDescent="0.35">
      <c r="A6" s="6" t="s">
        <v>130</v>
      </c>
      <c r="B6">
        <v>42</v>
      </c>
    </row>
    <row r="7" spans="1:2" x14ac:dyDescent="0.35">
      <c r="A7" s="6" t="s">
        <v>131</v>
      </c>
      <c r="B7">
        <v>5</v>
      </c>
    </row>
    <row r="8" spans="1:2" x14ac:dyDescent="0.35">
      <c r="A8" s="6" t="s">
        <v>132</v>
      </c>
      <c r="B8">
        <v>5</v>
      </c>
    </row>
    <row r="9" spans="1:2" x14ac:dyDescent="0.35">
      <c r="A9" s="6" t="s">
        <v>121</v>
      </c>
      <c r="B9">
        <v>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40E9-3DA1-44FB-8317-9DC5892DB25D}">
  <dimension ref="A3:B5"/>
  <sheetViews>
    <sheetView topLeftCell="A2" workbookViewId="0">
      <selection activeCell="C2" sqref="C2"/>
    </sheetView>
  </sheetViews>
  <sheetFormatPr defaultRowHeight="14.5" x14ac:dyDescent="0.35"/>
  <cols>
    <col min="1" max="1" width="12.36328125" bestFit="1" customWidth="1"/>
    <col min="2" max="2" width="18" bestFit="1" customWidth="1"/>
  </cols>
  <sheetData>
    <row r="3" spans="1:2" x14ac:dyDescent="0.35">
      <c r="A3" s="5" t="s">
        <v>119</v>
      </c>
      <c r="B3" t="s">
        <v>123</v>
      </c>
    </row>
    <row r="4" spans="1:2" x14ac:dyDescent="0.35">
      <c r="A4" s="6" t="s">
        <v>120</v>
      </c>
      <c r="B4">
        <v>86</v>
      </c>
    </row>
    <row r="5" spans="1:2" x14ac:dyDescent="0.35">
      <c r="A5" s="6" t="s">
        <v>121</v>
      </c>
      <c r="B5">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5D85-3246-420B-B99A-ADD061FC3B90}">
  <dimension ref="A1:B5"/>
  <sheetViews>
    <sheetView topLeftCell="A2" workbookViewId="0">
      <selection activeCell="E11" sqref="E11"/>
    </sheetView>
  </sheetViews>
  <sheetFormatPr defaultRowHeight="14.5" x14ac:dyDescent="0.35"/>
  <cols>
    <col min="1" max="2" width="17.90625" bestFit="1" customWidth="1"/>
    <col min="3" max="10" width="3.81640625" bestFit="1" customWidth="1"/>
    <col min="11" max="11" width="2.81640625" bestFit="1" customWidth="1"/>
    <col min="12" max="13" width="3.81640625" bestFit="1" customWidth="1"/>
    <col min="14" max="14" width="11.81640625" bestFit="1" customWidth="1"/>
    <col min="15" max="15" width="2.81640625" bestFit="1" customWidth="1"/>
    <col min="16" max="23" width="3.81640625" bestFit="1" customWidth="1"/>
    <col min="24" max="24" width="2.81640625" bestFit="1" customWidth="1"/>
    <col min="25" max="25" width="11.81640625" bestFit="1" customWidth="1"/>
    <col min="26" max="26" width="6.7265625" bestFit="1" customWidth="1"/>
    <col min="27" max="27" width="10.7265625" bestFit="1" customWidth="1"/>
  </cols>
  <sheetData>
    <row r="1" spans="1:2" x14ac:dyDescent="0.35">
      <c r="A1" s="5" t="s">
        <v>118</v>
      </c>
      <c r="B1" t="s">
        <v>135</v>
      </c>
    </row>
    <row r="3" spans="1:2" x14ac:dyDescent="0.35">
      <c r="A3" s="5" t="s">
        <v>134</v>
      </c>
    </row>
    <row r="4" spans="1:2" x14ac:dyDescent="0.35">
      <c r="A4" s="6" t="s">
        <v>133</v>
      </c>
      <c r="B4">
        <v>3.8444444444444437</v>
      </c>
    </row>
    <row r="5" spans="1:2" x14ac:dyDescent="0.35">
      <c r="A5" s="6" t="s">
        <v>123</v>
      </c>
      <c r="B5">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121F-ACCF-403C-A407-41CF2F689DDA}">
  <dimension ref="A3:B16"/>
  <sheetViews>
    <sheetView workbookViewId="0">
      <selection activeCell="A16" sqref="A16"/>
    </sheetView>
  </sheetViews>
  <sheetFormatPr defaultRowHeight="14.5" x14ac:dyDescent="0.35"/>
  <cols>
    <col min="1" max="1" width="69.1796875" bestFit="1" customWidth="1"/>
    <col min="2" max="2" width="17.7265625" style="8" bestFit="1" customWidth="1"/>
  </cols>
  <sheetData>
    <row r="3" spans="1:2" x14ac:dyDescent="0.35">
      <c r="A3" s="5" t="s">
        <v>119</v>
      </c>
      <c r="B3" t="s">
        <v>139</v>
      </c>
    </row>
    <row r="4" spans="1:2" x14ac:dyDescent="0.35">
      <c r="A4" s="6" t="s">
        <v>70</v>
      </c>
      <c r="B4">
        <v>0.39</v>
      </c>
    </row>
    <row r="5" spans="1:2" x14ac:dyDescent="0.35">
      <c r="A5" s="6" t="s">
        <v>11</v>
      </c>
      <c r="B5">
        <v>0.37</v>
      </c>
    </row>
    <row r="6" spans="1:2" x14ac:dyDescent="0.35">
      <c r="A6" s="6" t="s">
        <v>26</v>
      </c>
      <c r="B6">
        <v>0.35</v>
      </c>
    </row>
    <row r="7" spans="1:2" x14ac:dyDescent="0.35">
      <c r="A7" s="6" t="s">
        <v>18</v>
      </c>
      <c r="B7">
        <v>0.33</v>
      </c>
    </row>
    <row r="8" spans="1:2" x14ac:dyDescent="0.35">
      <c r="A8" s="6" t="s">
        <v>31</v>
      </c>
      <c r="B8">
        <v>0.32</v>
      </c>
    </row>
    <row r="9" spans="1:2" x14ac:dyDescent="0.35">
      <c r="A9" s="6" t="s">
        <v>32</v>
      </c>
      <c r="B9">
        <v>0.3</v>
      </c>
    </row>
    <row r="10" spans="1:2" x14ac:dyDescent="0.35">
      <c r="A10" s="6" t="s">
        <v>72</v>
      </c>
      <c r="B10">
        <v>0.28999999999999998</v>
      </c>
    </row>
    <row r="11" spans="1:2" x14ac:dyDescent="0.35">
      <c r="A11" s="6" t="s">
        <v>27</v>
      </c>
      <c r="B11">
        <v>0.23</v>
      </c>
    </row>
    <row r="12" spans="1:2" x14ac:dyDescent="0.35">
      <c r="A12" s="6" t="s">
        <v>14</v>
      </c>
      <c r="B12">
        <v>0.2</v>
      </c>
    </row>
    <row r="13" spans="1:2" x14ac:dyDescent="0.35">
      <c r="A13" s="6" t="s">
        <v>121</v>
      </c>
      <c r="B13">
        <v>0.30888888888888888</v>
      </c>
    </row>
    <row r="14" spans="1:2" x14ac:dyDescent="0.35">
      <c r="B14"/>
    </row>
    <row r="16" spans="1:2" x14ac:dyDescent="0.35">
      <c r="A16"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2CEFC-9E5D-455D-A0C3-D16D762C32B5}">
  <dimension ref="A3:B114"/>
  <sheetViews>
    <sheetView workbookViewId="0">
      <selection activeCell="A18" sqref="A18"/>
    </sheetView>
  </sheetViews>
  <sheetFormatPr defaultRowHeight="14.5" x14ac:dyDescent="0.35"/>
  <cols>
    <col min="1" max="1" width="69.1796875" bestFit="1" customWidth="1"/>
    <col min="2" max="2" width="18" style="2" bestFit="1" customWidth="1"/>
  </cols>
  <sheetData>
    <row r="3" spans="1:2" x14ac:dyDescent="0.35">
      <c r="A3" s="5" t="s">
        <v>119</v>
      </c>
      <c r="B3" s="2" t="s">
        <v>123</v>
      </c>
    </row>
    <row r="4" spans="1:2" x14ac:dyDescent="0.35">
      <c r="A4" s="6" t="s">
        <v>32</v>
      </c>
      <c r="B4" s="2">
        <v>20</v>
      </c>
    </row>
    <row r="5" spans="1:2" x14ac:dyDescent="0.35">
      <c r="A5" s="6" t="s">
        <v>27</v>
      </c>
      <c r="B5" s="2">
        <v>14</v>
      </c>
    </row>
    <row r="6" spans="1:2" x14ac:dyDescent="0.35">
      <c r="A6" s="6" t="s">
        <v>31</v>
      </c>
      <c r="B6" s="2">
        <v>13</v>
      </c>
    </row>
    <row r="7" spans="1:2" x14ac:dyDescent="0.35">
      <c r="A7" s="6" t="s">
        <v>14</v>
      </c>
      <c r="B7" s="2">
        <v>12</v>
      </c>
    </row>
    <row r="8" spans="1:2" x14ac:dyDescent="0.35">
      <c r="A8" s="6" t="s">
        <v>18</v>
      </c>
      <c r="B8" s="2">
        <v>9</v>
      </c>
    </row>
    <row r="9" spans="1:2" x14ac:dyDescent="0.35">
      <c r="A9" s="6" t="s">
        <v>26</v>
      </c>
      <c r="B9" s="2">
        <v>6</v>
      </c>
    </row>
    <row r="10" spans="1:2" x14ac:dyDescent="0.35">
      <c r="A10" s="6" t="s">
        <v>70</v>
      </c>
      <c r="B10" s="2">
        <v>5</v>
      </c>
    </row>
    <row r="11" spans="1:2" x14ac:dyDescent="0.35">
      <c r="A11" s="6" t="s">
        <v>72</v>
      </c>
      <c r="B11" s="2">
        <v>5</v>
      </c>
    </row>
    <row r="12" spans="1:2" x14ac:dyDescent="0.35">
      <c r="A12" s="6" t="s">
        <v>11</v>
      </c>
      <c r="B12" s="2">
        <v>2</v>
      </c>
    </row>
    <row r="13" spans="1:2" x14ac:dyDescent="0.35">
      <c r="A13" s="6" t="s">
        <v>121</v>
      </c>
      <c r="B13" s="2">
        <v>86</v>
      </c>
    </row>
    <row r="14" spans="1:2" x14ac:dyDescent="0.35">
      <c r="B14"/>
    </row>
    <row r="15" spans="1:2" x14ac:dyDescent="0.35">
      <c r="B15"/>
    </row>
    <row r="16" spans="1:2"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174C-4137-43A2-84D5-8DED8127BA07}">
  <dimension ref="A3:B9"/>
  <sheetViews>
    <sheetView workbookViewId="0">
      <selection activeCell="B5" sqref="B5"/>
    </sheetView>
  </sheetViews>
  <sheetFormatPr defaultRowHeight="14.5" x14ac:dyDescent="0.35"/>
  <cols>
    <col min="1" max="1" width="69.08984375" bestFit="1" customWidth="1"/>
    <col min="2" max="2" width="15.54296875" bestFit="1" customWidth="1"/>
  </cols>
  <sheetData>
    <row r="3" spans="1:2" x14ac:dyDescent="0.35">
      <c r="A3" s="5" t="s">
        <v>119</v>
      </c>
      <c r="B3" t="s">
        <v>133</v>
      </c>
    </row>
    <row r="4" spans="1:2" x14ac:dyDescent="0.35">
      <c r="A4" s="6" t="s">
        <v>70</v>
      </c>
      <c r="B4">
        <v>3</v>
      </c>
    </row>
    <row r="5" spans="1:2" x14ac:dyDescent="0.35">
      <c r="A5" s="6" t="s">
        <v>72</v>
      </c>
      <c r="B5">
        <v>3</v>
      </c>
    </row>
    <row r="6" spans="1:2" x14ac:dyDescent="0.35">
      <c r="A6" s="6" t="s">
        <v>31</v>
      </c>
      <c r="B6">
        <v>3.8</v>
      </c>
    </row>
    <row r="7" spans="1:2" x14ac:dyDescent="0.35">
      <c r="A7" s="6" t="s">
        <v>11</v>
      </c>
      <c r="B7">
        <v>4</v>
      </c>
    </row>
    <row r="8" spans="1:2" x14ac:dyDescent="0.35">
      <c r="A8" s="6" t="s">
        <v>26</v>
      </c>
      <c r="B8">
        <v>4</v>
      </c>
    </row>
    <row r="9" spans="1:2" x14ac:dyDescent="0.35">
      <c r="A9" s="6" t="s">
        <v>121</v>
      </c>
      <c r="B9">
        <v>3.56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005C-0EF1-4057-864F-CEF49DFF9A8A}">
  <dimension ref="A3:B10"/>
  <sheetViews>
    <sheetView workbookViewId="0">
      <selection activeCell="A18" sqref="A18"/>
    </sheetView>
  </sheetViews>
  <sheetFormatPr defaultRowHeight="14.5" x14ac:dyDescent="0.35"/>
  <cols>
    <col min="1" max="1" width="69.1796875" bestFit="1" customWidth="1"/>
    <col min="2" max="2" width="15.54296875" bestFit="1" customWidth="1"/>
  </cols>
  <sheetData>
    <row r="3" spans="1:2" x14ac:dyDescent="0.35">
      <c r="A3" s="5" t="s">
        <v>119</v>
      </c>
      <c r="B3" t="s">
        <v>133</v>
      </c>
    </row>
    <row r="4" spans="1:2" x14ac:dyDescent="0.35">
      <c r="A4" s="6" t="s">
        <v>27</v>
      </c>
      <c r="B4">
        <v>4.4000000000000004</v>
      </c>
    </row>
    <row r="5" spans="1:2" x14ac:dyDescent="0.35">
      <c r="A5" s="6" t="s">
        <v>18</v>
      </c>
      <c r="B5">
        <v>4.2</v>
      </c>
    </row>
    <row r="6" spans="1:2" x14ac:dyDescent="0.35">
      <c r="A6" s="6" t="s">
        <v>32</v>
      </c>
      <c r="B6">
        <v>4.0999999999999996</v>
      </c>
    </row>
    <row r="7" spans="1:2" x14ac:dyDescent="0.35">
      <c r="A7" s="6" t="s">
        <v>14</v>
      </c>
      <c r="B7">
        <v>4.0999999999999996</v>
      </c>
    </row>
    <row r="8" spans="1:2" x14ac:dyDescent="0.35">
      <c r="A8" s="6" t="s">
        <v>11</v>
      </c>
      <c r="B8">
        <v>4</v>
      </c>
    </row>
    <row r="9" spans="1:2" x14ac:dyDescent="0.35">
      <c r="A9" s="6" t="s">
        <v>26</v>
      </c>
      <c r="B9">
        <v>4</v>
      </c>
    </row>
    <row r="10" spans="1:2" x14ac:dyDescent="0.35">
      <c r="A10" s="6" t="s">
        <v>121</v>
      </c>
      <c r="B10">
        <v>4.1333333333333337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DBE5-F662-47F0-AEF9-C947626066D4}">
  <dimension ref="A1:D11"/>
  <sheetViews>
    <sheetView workbookViewId="0">
      <selection activeCell="B14" sqref="B14"/>
    </sheetView>
  </sheetViews>
  <sheetFormatPr defaultRowHeight="14.5" x14ac:dyDescent="0.35"/>
  <cols>
    <col min="1" max="1" width="65.6328125" customWidth="1"/>
    <col min="2" max="2" width="67.453125" customWidth="1"/>
    <col min="3" max="3" width="62.90625" customWidth="1"/>
    <col min="4" max="4" width="66.1796875" customWidth="1"/>
  </cols>
  <sheetData>
    <row r="1" spans="1:4" s="4" customFormat="1" x14ac:dyDescent="0.35">
      <c r="A1" s="4" t="s">
        <v>137</v>
      </c>
      <c r="B1" s="4" t="s">
        <v>138</v>
      </c>
      <c r="C1" s="4" t="s">
        <v>140</v>
      </c>
      <c r="D1" s="4" t="s">
        <v>136</v>
      </c>
    </row>
    <row r="2" spans="1:4" x14ac:dyDescent="0.35">
      <c r="A2" t="s">
        <v>21</v>
      </c>
      <c r="B2" t="s">
        <v>111</v>
      </c>
      <c r="C2" t="s">
        <v>65</v>
      </c>
      <c r="D2" t="s">
        <v>64</v>
      </c>
    </row>
    <row r="3" spans="1:4" x14ac:dyDescent="0.35">
      <c r="A3" t="s">
        <v>19</v>
      </c>
      <c r="B3" t="s">
        <v>64</v>
      </c>
      <c r="C3" t="s">
        <v>10</v>
      </c>
      <c r="D3" t="s">
        <v>28</v>
      </c>
    </row>
    <row r="4" spans="1:4" x14ac:dyDescent="0.35">
      <c r="A4" t="s">
        <v>20</v>
      </c>
      <c r="B4" t="s">
        <v>76</v>
      </c>
      <c r="C4" t="s">
        <v>29</v>
      </c>
      <c r="D4" t="s">
        <v>70</v>
      </c>
    </row>
    <row r="5" spans="1:4" x14ac:dyDescent="0.35">
      <c r="A5" t="s">
        <v>40</v>
      </c>
      <c r="B5" t="s">
        <v>68</v>
      </c>
      <c r="C5" t="s">
        <v>23</v>
      </c>
      <c r="D5" t="s">
        <v>21</v>
      </c>
    </row>
    <row r="6" spans="1:4" x14ac:dyDescent="0.35">
      <c r="A6" t="s">
        <v>39</v>
      </c>
      <c r="B6" t="s">
        <v>75</v>
      </c>
      <c r="C6" t="s">
        <v>15</v>
      </c>
      <c r="D6" t="s">
        <v>33</v>
      </c>
    </row>
    <row r="7" spans="1:4" x14ac:dyDescent="0.35">
      <c r="C7" t="s">
        <v>41</v>
      </c>
      <c r="D7" t="s">
        <v>43</v>
      </c>
    </row>
    <row r="8" spans="1:4" x14ac:dyDescent="0.35">
      <c r="C8" t="s">
        <v>38</v>
      </c>
      <c r="D8" t="s">
        <v>36</v>
      </c>
    </row>
    <row r="9" spans="1:4" x14ac:dyDescent="0.35">
      <c r="C9" t="s">
        <v>6</v>
      </c>
      <c r="D9" t="s">
        <v>12</v>
      </c>
    </row>
    <row r="10" spans="1:4" x14ac:dyDescent="0.35">
      <c r="C10" t="s">
        <v>32</v>
      </c>
      <c r="D10" t="s">
        <v>76</v>
      </c>
    </row>
    <row r="11" spans="1:4" x14ac:dyDescent="0.35">
      <c r="C11" t="s">
        <v>37</v>
      </c>
      <c r="D11" t="s">
        <v>25</v>
      </c>
    </row>
  </sheetData>
  <pageMargins left="0.7" right="0.7" top="0.75" bottom="0.75" header="0.3" footer="0.3"/>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DCA2-1B23-495E-9016-18F799304274}">
  <dimension ref="A1"/>
  <sheetViews>
    <sheetView tabSelected="1" zoomScale="37" workbookViewId="0">
      <selection sqref="A1:XFD1048576"/>
    </sheetView>
  </sheetViews>
  <sheetFormatPr defaultRowHeight="14.5" x14ac:dyDescent="0.35"/>
  <cols>
    <col min="1" max="16384" width="8.726562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Excel_jumia</vt:lpstr>
      <vt:lpstr>Product vs Rating</vt:lpstr>
      <vt:lpstr>Reviews vs Discount Percentage</vt:lpstr>
      <vt:lpstr>Rating vs Reviews</vt:lpstr>
      <vt:lpstr>Discount vs Customer Engagement</vt:lpstr>
      <vt:lpstr>Product rating vs Reviews</vt:lpstr>
      <vt:lpstr>Discount vs Rating and Reviews</vt:lpstr>
      <vt:lpstr>Top 10 Discounted Products</vt:lpstr>
      <vt:lpstr>Top 10 Reviewed Products</vt:lpstr>
      <vt:lpstr>Bottom 5 Lowest Rated Products</vt:lpstr>
      <vt:lpstr>Top 5 Highest Rated Products</vt:lpstr>
      <vt:lpstr>Product 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Mwende Mugambi</dc:creator>
  <cp:lastModifiedBy>Mwende Mugambi</cp:lastModifiedBy>
  <dcterms:created xsi:type="dcterms:W3CDTF">2026-01-27T11:58:56Z</dcterms:created>
  <dcterms:modified xsi:type="dcterms:W3CDTF">2026-02-01T15:53:40Z</dcterms:modified>
</cp:coreProperties>
</file>